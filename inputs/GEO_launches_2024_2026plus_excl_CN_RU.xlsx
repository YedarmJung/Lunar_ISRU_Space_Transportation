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발사데이터" sheetId="1" state="visible" r:id="rId3"/>
    <sheet name="연도별집계" sheetId="2" state="visible" r:id="rId4"/>
    <sheet name="README" sheetId="3" state="visible" r:id="rId5"/>
  </sheets>
  <definedNames>
    <definedName function="false" hidden="true" localSheetId="0" name="_xlnm._FilterDatabase" vbProcedure="false">발사데이터!$A$1:$K$87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<sst xmlns="http://schemas.openxmlformats.org/spreadsheetml/2006/main" count="696" uniqueCount="301">
  <si>
    <t xml:space="preserve">발사일</t>
  </si>
  <si>
    <t xml:space="preserve">위성명</t>
  </si>
  <si>
    <t xml:space="preserve">발사체</t>
  </si>
  <si>
    <r>
      <rPr>
        <b val="true"/>
        <sz val="10"/>
        <color rgb="FFFFFFFF"/>
        <rFont val="Noto Sans CJK SC"/>
        <family val="2"/>
      </rPr>
      <t xml:space="preserve">총질량</t>
    </r>
    <r>
      <rPr>
        <b val="true"/>
        <sz val="10"/>
        <color rgb="FFFFFFFF"/>
        <rFont val="Arial"/>
        <family val="0"/>
        <charset val="1"/>
      </rPr>
      <t xml:space="preserve">_kg</t>
    </r>
  </si>
  <si>
    <r>
      <rPr>
        <b val="true"/>
        <sz val="10"/>
        <color rgb="FFFFFFFF"/>
        <rFont val="Noto Sans CJK SC"/>
        <family val="2"/>
      </rPr>
      <t xml:space="preserve">건조질량</t>
    </r>
    <r>
      <rPr>
        <b val="true"/>
        <sz val="10"/>
        <color rgb="FFFFFFFF"/>
        <rFont val="Arial"/>
        <family val="0"/>
        <charset val="1"/>
      </rPr>
      <t xml:space="preserve">_kg</t>
    </r>
  </si>
  <si>
    <t xml:space="preserve">발사연도</t>
  </si>
  <si>
    <t xml:space="preserve">상태</t>
  </si>
  <si>
    <r>
      <rPr>
        <b val="true"/>
        <sz val="10"/>
        <color rgb="FFFFFFFF"/>
        <rFont val="Noto Sans CJK SC"/>
        <family val="2"/>
      </rPr>
      <t xml:space="preserve">국가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운용</t>
    </r>
  </si>
  <si>
    <t xml:space="preserve">궤도투입방식</t>
  </si>
  <si>
    <t xml:space="preserve">질량신뢰도</t>
  </si>
  <si>
    <t xml:space="preserve">비고</t>
  </si>
  <si>
    <t xml:space="preserve">2024-01-03</t>
  </si>
  <si>
    <t xml:space="preserve">Ovzon 3</t>
  </si>
  <si>
    <t xml:space="preserve">Falcon 9 Block 5</t>
  </si>
  <si>
    <t xml:space="preserve">발사완료</t>
  </si>
  <si>
    <r>
      <rPr>
        <sz val="10"/>
        <rFont val="Noto Sans CJK SC"/>
        <family val="2"/>
      </rPr>
      <t xml:space="preserve">스웨덴 </t>
    </r>
    <r>
      <rPr>
        <sz val="10"/>
        <rFont val="Arial"/>
        <family val="0"/>
        <charset val="1"/>
      </rPr>
      <t xml:space="preserve">(Ovzon)</t>
    </r>
  </si>
  <si>
    <t xml:space="preserve">GTO</t>
  </si>
  <si>
    <t xml:space="preserve">추정</t>
  </si>
  <si>
    <t xml:space="preserve">SSL-500 Legion class</t>
  </si>
  <si>
    <t xml:space="preserve">2024-02-17</t>
  </si>
  <si>
    <t xml:space="preserve">INSAT-3DS</t>
  </si>
  <si>
    <t xml:space="preserve">GSLV-F14 (Mk II)</t>
  </si>
  <si>
    <r>
      <rPr>
        <sz val="10"/>
        <rFont val="Noto Sans CJK SC"/>
        <family val="2"/>
      </rPr>
      <t xml:space="preserve">인도 </t>
    </r>
    <r>
      <rPr>
        <sz val="10"/>
        <rFont val="Arial"/>
        <family val="0"/>
        <charset val="1"/>
      </rPr>
      <t xml:space="preserve">(ISRO/MoES)</t>
    </r>
  </si>
  <si>
    <t xml:space="preserve">공표</t>
  </si>
  <si>
    <t xml:space="preserve">기상</t>
  </si>
  <si>
    <t xml:space="preserve">2024-03-30</t>
  </si>
  <si>
    <t xml:space="preserve">Eutelsat 36D</t>
  </si>
  <si>
    <r>
      <rPr>
        <sz val="10"/>
        <rFont val="Noto Sans CJK SC"/>
        <family val="2"/>
      </rPr>
      <t xml:space="preserve">프랑스 </t>
    </r>
    <r>
      <rPr>
        <sz val="10"/>
        <rFont val="Arial"/>
        <family val="0"/>
        <charset val="1"/>
      </rPr>
      <t xml:space="preserve">(Eutelsat)</t>
    </r>
  </si>
  <si>
    <t xml:space="preserve">Eurostar-Neo, 36E</t>
  </si>
  <si>
    <t xml:space="preserve">2024-04-09</t>
  </si>
  <si>
    <t xml:space="preserve">NROL-70</t>
  </si>
  <si>
    <t xml:space="preserve">Delta IV Heavy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</si>
  <si>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(NRO)</t>
    </r>
  </si>
  <si>
    <r>
      <rPr>
        <sz val="10"/>
        <rFont val="Arial"/>
        <family val="0"/>
        <charset val="1"/>
      </rPr>
      <t xml:space="preserve">GEO</t>
    </r>
    <r>
      <rPr>
        <sz val="10"/>
        <rFont val="Noto Sans CJK SC"/>
        <family val="2"/>
      </rPr>
      <t xml:space="preserve">직접</t>
    </r>
  </si>
  <si>
    <t xml:space="preserve">미상</t>
  </si>
  <si>
    <r>
      <rPr>
        <sz val="10"/>
        <rFont val="Arial"/>
        <family val="0"/>
        <charset val="1"/>
      </rPr>
      <t xml:space="preserve">Delta IV Heavy </t>
    </r>
    <r>
      <rPr>
        <sz val="10"/>
        <rFont val="Noto Sans CJK SC"/>
        <family val="2"/>
      </rPr>
      <t xml:space="preserve">최종비행</t>
    </r>
    <r>
      <rPr>
        <sz val="10"/>
        <rFont val="Arial"/>
        <family val="0"/>
        <charset val="1"/>
      </rPr>
      <t xml:space="preserve">. ORION</t>
    </r>
    <r>
      <rPr>
        <sz val="10"/>
        <rFont val="Noto Sans CJK SC"/>
        <family val="2"/>
      </rPr>
      <t xml:space="preserve">계열 </t>
    </r>
    <r>
      <rPr>
        <sz val="10"/>
        <rFont val="Arial"/>
        <family val="0"/>
        <charset val="1"/>
      </rPr>
      <t xml:space="preserve">SIGINT </t>
    </r>
    <r>
      <rPr>
        <sz val="10"/>
        <rFont val="Noto Sans CJK SC"/>
        <family val="2"/>
      </rPr>
      <t xml:space="preserve">추정</t>
    </r>
  </si>
  <si>
    <t xml:space="preserve">2024-06-20</t>
  </si>
  <si>
    <t xml:space="preserve">Astra 1P / SES-24</t>
  </si>
  <si>
    <r>
      <rPr>
        <sz val="10"/>
        <rFont val="Noto Sans CJK SC"/>
        <family val="2"/>
      </rPr>
      <t xml:space="preserve">룩셈부르크 </t>
    </r>
    <r>
      <rPr>
        <sz val="10"/>
        <rFont val="Arial"/>
        <family val="0"/>
        <charset val="1"/>
      </rPr>
      <t xml:space="preserve">(SES)</t>
    </r>
  </si>
  <si>
    <t xml:space="preserve">Spacebus NEO-200, 19.2E</t>
  </si>
  <si>
    <t xml:space="preserve">2024-06-25</t>
  </si>
  <si>
    <t xml:space="preserve">GOES-U (→GOES-19)</t>
  </si>
  <si>
    <t xml:space="preserve">Falcon Heavy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</si>
  <si>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(NOAA)</t>
    </r>
  </si>
  <si>
    <t xml:space="preserve">2024-07-08</t>
  </si>
  <si>
    <t xml:space="preserve">Turksat 6A</t>
  </si>
  <si>
    <r>
      <rPr>
        <sz val="10"/>
        <rFont val="Noto Sans CJK SC"/>
        <family val="2"/>
      </rPr>
      <t xml:space="preserve">튀르키예 </t>
    </r>
    <r>
      <rPr>
        <sz val="10"/>
        <rFont val="Arial"/>
        <family val="0"/>
        <charset val="1"/>
      </rPr>
      <t xml:space="preserve">(Turksat)</t>
    </r>
  </si>
  <si>
    <r>
      <rPr>
        <sz val="10"/>
        <rFont val="Noto Sans CJK SC"/>
        <family val="2"/>
      </rPr>
      <t xml:space="preserve">튀르키예 첫 국산 </t>
    </r>
    <r>
      <rPr>
        <sz val="10"/>
        <rFont val="Arial"/>
        <family val="0"/>
        <charset val="1"/>
      </rPr>
      <t xml:space="preserve">GEO, 42E</t>
    </r>
  </si>
  <si>
    <t xml:space="preserve">2024-07-30</t>
  </si>
  <si>
    <t xml:space="preserve">USSF-51</t>
  </si>
  <si>
    <t xml:space="preserve">Atlas V 551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</si>
  <si>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(USSF)</t>
    </r>
  </si>
  <si>
    <r>
      <rPr>
        <sz val="10"/>
        <rFont val="Noto Sans CJK SC"/>
        <family val="2"/>
      </rPr>
      <t xml:space="preserve">기밀</t>
    </r>
    <r>
      <rPr>
        <sz val="10"/>
        <rFont val="Arial"/>
        <family val="0"/>
        <charset val="1"/>
      </rPr>
      <t xml:space="preserve">, GEO 3</t>
    </r>
    <r>
      <rPr>
        <sz val="10"/>
        <rFont val="Noto Sans CJK SC"/>
        <family val="2"/>
      </rPr>
      <t xml:space="preserve">기 추정</t>
    </r>
  </si>
  <si>
    <t xml:space="preserve">2024-11-04</t>
  </si>
  <si>
    <t xml:space="preserve">Kirameki-3 (DSN-3)</t>
  </si>
  <si>
    <t xml:space="preserve">H3-22S</t>
  </si>
  <si>
    <r>
      <rPr>
        <sz val="10"/>
        <rFont val="Noto Sans CJK SC"/>
        <family val="2"/>
      </rPr>
      <t xml:space="preserve">일본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방위성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</si>
  <si>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DS2000 </t>
    </r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, X</t>
    </r>
    <r>
      <rPr>
        <sz val="10"/>
        <rFont val="Noto Sans CJK SC"/>
        <family val="2"/>
      </rPr>
      <t xml:space="preserve">밴드 군통신</t>
    </r>
    <r>
      <rPr>
        <sz val="10"/>
        <rFont val="Arial"/>
        <family val="0"/>
        <charset val="1"/>
      </rPr>
      <t xml:space="preserve">, 144E</t>
    </r>
  </si>
  <si>
    <t xml:space="preserve">2024-11-11</t>
  </si>
  <si>
    <t xml:space="preserve">Koreasat 6A</t>
  </si>
  <si>
    <r>
      <rPr>
        <sz val="10"/>
        <rFont val="Noto Sans CJK SC"/>
        <family val="2"/>
      </rPr>
      <t xml:space="preserve">한국 </t>
    </r>
    <r>
      <rPr>
        <sz val="10"/>
        <rFont val="Arial"/>
        <family val="0"/>
        <charset val="1"/>
      </rPr>
      <t xml:space="preserve">(KT SAT)</t>
    </r>
  </si>
  <si>
    <t xml:space="preserve">Spacebus-4000B2, 116E</t>
  </si>
  <si>
    <t xml:space="preserve">2024-11-17</t>
  </si>
  <si>
    <t xml:space="preserve">Optus-X / TD7</t>
  </si>
  <si>
    <r>
      <rPr>
        <sz val="10"/>
        <rFont val="Noto Sans CJK SC"/>
        <family val="2"/>
      </rPr>
      <t xml:space="preserve">호주 </t>
    </r>
    <r>
      <rPr>
        <sz val="10"/>
        <rFont val="Arial"/>
        <family val="0"/>
        <charset val="1"/>
      </rPr>
      <t xml:space="preserve">(Optus)</t>
    </r>
  </si>
  <si>
    <t xml:space="preserve">임무 미공개</t>
  </si>
  <si>
    <t xml:space="preserve">2024-11-18</t>
  </si>
  <si>
    <t xml:space="preserve">GSAT-N2 (GSAT-20)</t>
  </si>
  <si>
    <r>
      <rPr>
        <sz val="10"/>
        <rFont val="Noto Sans CJK SC"/>
        <family val="2"/>
      </rPr>
      <t xml:space="preserve">인도 </t>
    </r>
    <r>
      <rPr>
        <sz val="10"/>
        <rFont val="Arial"/>
        <family val="0"/>
        <charset val="1"/>
      </rPr>
      <t xml:space="preserve">(NSIL/ISRO)</t>
    </r>
  </si>
  <si>
    <t xml:space="preserve">I-3K, 68E</t>
  </si>
  <si>
    <t xml:space="preserve">2024-12-05</t>
  </si>
  <si>
    <t xml:space="preserve">SXM-9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</si>
  <si>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(SiriusXM)</t>
    </r>
  </si>
  <si>
    <t xml:space="preserve">SSL-1300</t>
  </si>
  <si>
    <t xml:space="preserve">2024-12-29</t>
  </si>
  <si>
    <t xml:space="preserve">UtilitySat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</si>
  <si>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(Astranis)</t>
    </r>
  </si>
  <si>
    <r>
      <rPr>
        <sz val="10"/>
        <rFont val="Arial"/>
        <family val="0"/>
        <charset val="1"/>
      </rPr>
      <t xml:space="preserve">MicroGEO, 1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기 동시발사</t>
    </r>
  </si>
  <si>
    <t xml:space="preserve">NuView Alpha (AstranisAero West)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</si>
  <si>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(Anuvu)</t>
    </r>
  </si>
  <si>
    <t xml:space="preserve">MicroGEO</t>
  </si>
  <si>
    <t xml:space="preserve">NuView Bravo (AstranisAero East)</t>
  </si>
  <si>
    <t xml:space="preserve">Agila (Philippines Sat 2)</t>
  </si>
  <si>
    <r>
      <rPr>
        <sz val="10"/>
        <rFont val="Noto Sans CJK SC"/>
        <family val="2"/>
      </rPr>
      <t xml:space="preserve">필리핀 </t>
    </r>
    <r>
      <rPr>
        <sz val="10"/>
        <rFont val="Arial"/>
        <family val="0"/>
        <charset val="1"/>
      </rPr>
      <t xml:space="preserve">(Orbits Corp)</t>
    </r>
  </si>
  <si>
    <t xml:space="preserve">MicroGEO, 152.1E</t>
  </si>
  <si>
    <t xml:space="preserve">2025-01-04</t>
  </si>
  <si>
    <t xml:space="preserve">Thuraya 4-NGS</t>
  </si>
  <si>
    <t xml:space="preserve">UAE (Space42)</t>
  </si>
  <si>
    <r>
      <rPr>
        <sz val="10"/>
        <rFont val="Arial"/>
        <family val="0"/>
        <charset val="1"/>
      </rPr>
      <t xml:space="preserve">Eurostar-Neo </t>
    </r>
    <r>
      <rPr>
        <sz val="10"/>
        <rFont val="Noto Sans CJK SC"/>
        <family val="2"/>
      </rPr>
      <t xml:space="preserve">전전기추진 </t>
    </r>
    <r>
      <rPr>
        <sz val="10"/>
        <rFont val="Arial"/>
        <family val="0"/>
        <charset val="1"/>
      </rPr>
      <t xml:space="preserve">(GEO </t>
    </r>
    <r>
      <rPr>
        <sz val="10"/>
        <rFont val="Noto Sans CJK SC"/>
        <family val="2"/>
      </rPr>
      <t xml:space="preserve">도달 수개월</t>
    </r>
    <r>
      <rPr>
        <sz val="10"/>
        <rFont val="Arial"/>
        <family val="0"/>
        <charset val="1"/>
      </rPr>
      <t xml:space="preserve">)</t>
    </r>
  </si>
  <si>
    <t xml:space="preserve">2025-01-29</t>
  </si>
  <si>
    <t xml:space="preserve">NVS-02</t>
  </si>
  <si>
    <t xml:space="preserve">GSLV-F15</t>
  </si>
  <si>
    <r>
      <rPr>
        <sz val="10"/>
        <rFont val="Noto Sans CJK SC"/>
        <family val="2"/>
      </rPr>
      <t xml:space="preserve">인도 </t>
    </r>
    <r>
      <rPr>
        <sz val="10"/>
        <rFont val="Arial"/>
        <family val="0"/>
        <charset val="1"/>
      </rPr>
      <t xml:space="preserve">(ISRO)</t>
    </r>
  </si>
  <si>
    <r>
      <rPr>
        <sz val="10"/>
        <rFont val="Arial"/>
        <family val="0"/>
        <charset val="1"/>
      </rPr>
      <t xml:space="preserve">NavIC. </t>
    </r>
    <r>
      <rPr>
        <sz val="10"/>
        <rFont val="Noto Sans CJK SC"/>
        <family val="2"/>
      </rPr>
      <t xml:space="preserve">궤도상승 이상으로 목표 경사</t>
    </r>
    <r>
      <rPr>
        <sz val="10"/>
        <rFont val="Arial"/>
        <family val="0"/>
        <charset val="1"/>
      </rPr>
      <t xml:space="preserve">GSO </t>
    </r>
    <r>
      <rPr>
        <sz val="10"/>
        <rFont val="Noto Sans CJK SC"/>
        <family val="2"/>
      </rPr>
      <t xml:space="preserve">미도달</t>
    </r>
  </si>
  <si>
    <t xml:space="preserve">2025-01-30</t>
  </si>
  <si>
    <t xml:space="preserve">Spainsat NG I</t>
  </si>
  <si>
    <r>
      <rPr>
        <sz val="10"/>
        <rFont val="Arial"/>
        <family val="0"/>
        <charset val="1"/>
      </rPr>
      <t xml:space="preserve">Falcon 9 (</t>
    </r>
    <r>
      <rPr>
        <sz val="10"/>
        <rFont val="Noto Sans CJK SC"/>
        <family val="2"/>
      </rPr>
      <t xml:space="preserve">소모형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</si>
  <si>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스페인 </t>
    </r>
    <r>
      <rPr>
        <sz val="10"/>
        <rFont val="Arial"/>
        <family val="0"/>
        <charset val="1"/>
      </rPr>
      <t xml:space="preserve">(Hisdesat)</t>
    </r>
  </si>
  <si>
    <r>
      <rPr>
        <sz val="10"/>
        <rFont val="Noto Sans CJK SC"/>
        <family val="2"/>
      </rPr>
      <t xml:space="preserve">고에너지 </t>
    </r>
    <r>
      <rPr>
        <sz val="10"/>
        <rFont val="Arial"/>
        <family val="0"/>
        <charset val="1"/>
      </rPr>
      <t xml:space="preserve">GTO</t>
    </r>
  </si>
  <si>
    <t xml:space="preserve">Eurostar-Neo, 30W</t>
  </si>
  <si>
    <t xml:space="preserve">2025-02-02</t>
  </si>
  <si>
    <t xml:space="preserve">QZS-6 (Michibiki-6)</t>
  </si>
  <si>
    <r>
      <rPr>
        <sz val="10"/>
        <rFont val="Noto Sans CJK SC"/>
        <family val="2"/>
      </rPr>
      <t xml:space="preserve">일본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내각부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</si>
  <si>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QZSS </t>
    </r>
    <r>
      <rPr>
        <sz val="10"/>
        <rFont val="Noto Sans CJK SC"/>
        <family val="2"/>
      </rPr>
      <t xml:space="preserve">정지궤도기</t>
    </r>
    <r>
      <rPr>
        <sz val="10"/>
        <rFont val="Arial"/>
        <family val="0"/>
        <charset val="1"/>
      </rPr>
      <t xml:space="preserve">, 90.5E</t>
    </r>
  </si>
  <si>
    <t xml:space="preserve">2025-06-07</t>
  </si>
  <si>
    <t xml:space="preserve">SXM-10</t>
  </si>
  <si>
    <t xml:space="preserve">Maxar 1300</t>
  </si>
  <si>
    <t xml:space="preserve">2025-07-01</t>
  </si>
  <si>
    <t xml:space="preserve">MTG-S1 / Sentinel-4</t>
  </si>
  <si>
    <t xml:space="preserve">EU (EUMETSAT/ESA)</t>
  </si>
  <si>
    <t xml:space="preserve">기상 사운더</t>
  </si>
  <si>
    <t xml:space="preserve">2025-07-13</t>
  </si>
  <si>
    <t xml:space="preserve">Dror 1</t>
  </si>
  <si>
    <t xml:space="preserve">Falcon 9</t>
  </si>
  <si>
    <r>
      <rPr>
        <sz val="10"/>
        <rFont val="Noto Sans CJK SC"/>
        <family val="2"/>
      </rPr>
      <t xml:space="preserve">이스라엘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</si>
  <si>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IAI AMOS-HP </t>
    </r>
    <r>
      <rPr>
        <sz val="10"/>
        <rFont val="Noto Sans CJK SC"/>
        <family val="2"/>
      </rPr>
      <t xml:space="preserve">계열</t>
    </r>
  </si>
  <si>
    <t xml:space="preserve">2025-08-13</t>
  </si>
  <si>
    <t xml:space="preserve">NTS-3 (USSF-106)</t>
  </si>
  <si>
    <t xml:space="preserve">Vulcan Centaur VC4S</t>
  </si>
  <si>
    <r>
      <rPr>
        <sz val="10"/>
        <rFont val="Arial"/>
        <family val="0"/>
        <charset val="1"/>
      </rPr>
      <t xml:space="preserve">PNT </t>
    </r>
    <r>
      <rPr>
        <sz val="10"/>
        <rFont val="Noto Sans CJK SC"/>
        <family val="2"/>
      </rPr>
      <t xml:space="preserve">실증</t>
    </r>
    <r>
      <rPr>
        <sz val="10"/>
        <rFont val="Arial"/>
        <family val="0"/>
        <charset val="1"/>
      </rPr>
      <t xml:space="preserve">. Centaur V </t>
    </r>
    <r>
      <rPr>
        <sz val="10"/>
        <rFont val="Noto Sans CJK SC"/>
        <family val="2"/>
      </rPr>
      <t xml:space="preserve">직접투입</t>
    </r>
  </si>
  <si>
    <r>
      <rPr>
        <sz val="10"/>
        <rFont val="Arial"/>
        <family val="0"/>
        <charset val="1"/>
      </rPr>
      <t xml:space="preserve">USA-554 (USSF-106 </t>
    </r>
    <r>
      <rPr>
        <sz val="10"/>
        <rFont val="Noto Sans CJK SC"/>
        <family val="2"/>
      </rPr>
      <t xml:space="preserve">부수탑재</t>
    </r>
    <r>
      <rPr>
        <sz val="10"/>
        <rFont val="Arial"/>
        <family val="0"/>
        <charset val="1"/>
      </rPr>
      <t xml:space="preserve">)</t>
    </r>
  </si>
  <si>
    <t xml:space="preserve">기밀</t>
  </si>
  <si>
    <t xml:space="preserve">2025-09-12</t>
  </si>
  <si>
    <t xml:space="preserve">Nusantara Lima</t>
  </si>
  <si>
    <r>
      <rPr>
        <sz val="10"/>
        <rFont val="Noto Sans CJK SC"/>
        <family val="2"/>
      </rPr>
      <t xml:space="preserve">인도네시아 </t>
    </r>
    <r>
      <rPr>
        <sz val="10"/>
        <rFont val="Arial"/>
        <family val="0"/>
        <charset val="1"/>
      </rPr>
      <t xml:space="preserve">(PSN)</t>
    </r>
  </si>
  <si>
    <r>
      <rPr>
        <sz val="10"/>
        <rFont val="Arial"/>
        <family val="0"/>
        <charset val="1"/>
      </rPr>
      <t xml:space="preserve">Boeing 702MP. Falcon 9 GTO </t>
    </r>
    <r>
      <rPr>
        <sz val="10"/>
        <rFont val="Noto Sans CJK SC"/>
        <family val="2"/>
      </rPr>
      <t xml:space="preserve">최대질량 기록</t>
    </r>
  </si>
  <si>
    <t xml:space="preserve">2025-10-24</t>
  </si>
  <si>
    <t xml:space="preserve">Spainsat NG II</t>
  </si>
  <si>
    <t xml:space="preserve">Eurostar-Neo, 29E</t>
  </si>
  <si>
    <t xml:space="preserve">2025-11-02</t>
  </si>
  <si>
    <t xml:space="preserve">CMS-03 (GSAT-7R)</t>
  </si>
  <si>
    <t xml:space="preserve">LVM3-M5</t>
  </si>
  <si>
    <r>
      <rPr>
        <sz val="10"/>
        <rFont val="Noto Sans CJK SC"/>
        <family val="2"/>
      </rPr>
      <t xml:space="preserve">인도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</si>
  <si>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준정지천이 </t>
    </r>
    <r>
      <rPr>
        <sz val="10"/>
        <rFont val="Arial"/>
        <family val="0"/>
        <charset val="1"/>
      </rPr>
      <t xml:space="preserve">(170x29970km)</t>
    </r>
  </si>
  <si>
    <r>
      <rPr>
        <sz val="10"/>
        <rFont val="Arial"/>
        <family val="0"/>
        <charset val="1"/>
      </rPr>
      <t xml:space="preserve">LVM3 </t>
    </r>
    <r>
      <rPr>
        <sz val="10"/>
        <rFont val="Noto Sans CJK SC"/>
        <family val="2"/>
      </rPr>
      <t xml:space="preserve">최중량 </t>
    </r>
    <r>
      <rPr>
        <sz val="10"/>
        <rFont val="Arial"/>
        <family val="0"/>
        <charset val="1"/>
      </rPr>
      <t xml:space="preserve">GTO </t>
    </r>
    <r>
      <rPr>
        <sz val="10"/>
        <rFont val="Noto Sans CJK SC"/>
        <family val="2"/>
      </rPr>
      <t xml:space="preserve">페이로드</t>
    </r>
  </si>
  <si>
    <t xml:space="preserve">2025-11-14</t>
  </si>
  <si>
    <t xml:space="preserve">ViaSat-3 F2 (EMEA)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</si>
  <si>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(Viasat)</t>
    </r>
  </si>
  <si>
    <t xml:space="preserve">BSS-702MP+</t>
  </si>
  <si>
    <t xml:space="preserve">2026-02-12</t>
  </si>
  <si>
    <t xml:space="preserve">GSSAP 7 (Hornet 7, USA 582)</t>
  </si>
  <si>
    <r>
      <rPr>
        <sz val="10"/>
        <rFont val="Arial"/>
        <family val="0"/>
        <charset val="1"/>
      </rPr>
      <t xml:space="preserve">USSF-87. </t>
    </r>
    <r>
      <rPr>
        <sz val="10"/>
        <rFont val="Noto Sans CJK SC"/>
        <family val="2"/>
      </rPr>
      <t xml:space="preserve">정지궤도 상황인식</t>
    </r>
    <r>
      <rPr>
        <sz val="10"/>
        <rFont val="Arial"/>
        <family val="0"/>
        <charset val="1"/>
      </rPr>
      <t xml:space="preserve">(SSA)</t>
    </r>
  </si>
  <si>
    <t xml:space="preserve">GSSAP 8 (Hornet 8, USA 583)</t>
  </si>
  <si>
    <t xml:space="preserve">USSF-87</t>
  </si>
  <si>
    <t xml:space="preserve">USA 584</t>
  </si>
  <si>
    <r>
      <rPr>
        <sz val="10"/>
        <rFont val="Arial"/>
        <family val="0"/>
        <charset val="1"/>
      </rPr>
      <t xml:space="preserve">USSF-87 </t>
    </r>
    <r>
      <rPr>
        <sz val="10"/>
        <rFont val="Noto Sans CJK SC"/>
        <family val="2"/>
      </rPr>
      <t xml:space="preserve">부수탑재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기밀</t>
    </r>
  </si>
  <si>
    <t xml:space="preserve">Jam-e Jam 1</t>
  </si>
  <si>
    <t xml:space="preserve">Proton-M Blok-DM-03</t>
  </si>
  <si>
    <r>
      <rPr>
        <sz val="10"/>
        <rFont val="Noto Sans CJK SC"/>
        <family val="2"/>
      </rPr>
      <t xml:space="preserve">이란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</si>
  <si>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러시아 제작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발사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운용주체는 이란</t>
    </r>
    <r>
      <rPr>
        <sz val="10"/>
        <rFont val="Arial"/>
        <family val="0"/>
        <charset val="1"/>
      </rPr>
      <t xml:space="preserve">. Elektro-L 5</t>
    </r>
    <r>
      <rPr>
        <sz val="10"/>
        <rFont val="Noto Sans CJK SC"/>
        <family val="2"/>
      </rPr>
      <t xml:space="preserve">와 동반발사</t>
    </r>
  </si>
  <si>
    <t xml:space="preserve">2026-03-10</t>
  </si>
  <si>
    <t xml:space="preserve">EchoStar 25 (EchoStar XXV)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</si>
  <si>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(EchoStar)</t>
    </r>
  </si>
  <si>
    <r>
      <rPr>
        <sz val="10"/>
        <rFont val="Arial"/>
        <family val="0"/>
        <charset val="1"/>
      </rPr>
      <t xml:space="preserve">SSL-1300. </t>
    </r>
    <r>
      <rPr>
        <sz val="10"/>
        <rFont val="Noto Sans CJK SC"/>
        <family val="2"/>
      </rPr>
      <t xml:space="preserve">부스터 </t>
    </r>
    <r>
      <rPr>
        <sz val="10"/>
        <rFont val="Arial"/>
        <family val="0"/>
        <charset val="1"/>
      </rPr>
      <t xml:space="preserve">B1085</t>
    </r>
  </si>
  <si>
    <t xml:space="preserve">2026-04-29</t>
  </si>
  <si>
    <t xml:space="preserve">ViaSat-3 F3 (APAC)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</si>
  <si>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</si>
  <si>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BSS-702MP+. </t>
    </r>
    <r>
      <rPr>
        <sz val="10"/>
        <rFont val="Noto Sans CJK SC"/>
        <family val="2"/>
      </rPr>
      <t xml:space="preserve">발사체 미확인</t>
    </r>
  </si>
  <si>
    <t xml:space="preserve">2026-06-29</t>
  </si>
  <si>
    <t xml:space="preserve">SXM-11</t>
  </si>
  <si>
    <r>
      <rPr>
        <sz val="10"/>
        <rFont val="Arial"/>
        <family val="0"/>
        <charset val="1"/>
      </rPr>
      <t xml:space="preserve">SSL-1300. </t>
    </r>
    <r>
      <rPr>
        <sz val="10"/>
        <rFont val="Noto Sans CJK SC"/>
        <family val="2"/>
      </rPr>
      <t xml:space="preserve">발사체 미확인</t>
    </r>
  </si>
  <si>
    <t xml:space="preserve">2026-07-21</t>
  </si>
  <si>
    <t xml:space="preserve">MRV (Mission Robotic Vehicle)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</si>
  <si>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(Northrop Grumman/DARPA)</t>
    </r>
  </si>
  <si>
    <r>
      <rPr>
        <sz val="10"/>
        <rFont val="Arial"/>
        <family val="0"/>
        <charset val="1"/>
      </rPr>
      <t xml:space="preserve">RSGS </t>
    </r>
    <r>
      <rPr>
        <sz val="10"/>
        <rFont val="Noto Sans CJK SC"/>
        <family val="2"/>
      </rPr>
      <t xml:space="preserve">궤도상 서비싱</t>
    </r>
    <r>
      <rPr>
        <sz val="10"/>
        <rFont val="Arial"/>
        <family val="0"/>
        <charset val="1"/>
      </rPr>
      <t xml:space="preserve">. GEO </t>
    </r>
    <r>
      <rPr>
        <sz val="10"/>
        <rFont val="Noto Sans CJK SC"/>
        <family val="2"/>
      </rPr>
      <t xml:space="preserve">도달까지 약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. B1069 </t>
    </r>
    <r>
      <rPr>
        <sz val="10"/>
        <rFont val="Noto Sans CJK SC"/>
        <family val="2"/>
      </rPr>
      <t xml:space="preserve">소모</t>
    </r>
  </si>
  <si>
    <t xml:space="preserve">MEP 1-3 (Mission Extension Pod x3)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</si>
  <si>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(Northrop Grumman)</t>
    </r>
  </si>
  <si>
    <r>
      <rPr>
        <sz val="10"/>
        <rFont val="Arial"/>
        <family val="0"/>
        <charset val="1"/>
      </rPr>
      <t xml:space="preserve">MRV</t>
    </r>
    <r>
      <rPr>
        <sz val="10"/>
        <rFont val="Noto Sans CJK SC"/>
        <family val="2"/>
      </rPr>
      <t xml:space="preserve">와 동반발사</t>
    </r>
    <r>
      <rPr>
        <sz val="10"/>
        <rFont val="Arial"/>
        <family val="0"/>
        <charset val="1"/>
      </rPr>
      <t xml:space="preserve">. Optus/SES </t>
    </r>
    <r>
      <rPr>
        <sz val="10"/>
        <rFont val="Noto Sans CJK SC"/>
        <family val="2"/>
      </rPr>
      <t xml:space="preserve">위성 수명연장용</t>
    </r>
  </si>
  <si>
    <t xml:space="preserve">2026-08-27</t>
  </si>
  <si>
    <t xml:space="preserve">MTG-I2 (Meteosat-14)</t>
  </si>
  <si>
    <t xml:space="preserve">Ariane 62 (VA270)</t>
  </si>
  <si>
    <t xml:space="preserve">발사예정</t>
  </si>
  <si>
    <r>
      <rPr>
        <sz val="10"/>
        <rFont val="Arial"/>
        <family val="0"/>
        <charset val="1"/>
      </rPr>
      <t xml:space="preserve">Ariane 6</t>
    </r>
    <r>
      <rPr>
        <sz val="10"/>
        <rFont val="Noto Sans CJK SC"/>
        <family val="2"/>
      </rPr>
      <t xml:space="preserve">의 첫 </t>
    </r>
    <r>
      <rPr>
        <sz val="10"/>
        <rFont val="Arial"/>
        <family val="0"/>
        <charset val="1"/>
      </rPr>
      <t xml:space="preserve">GTO </t>
    </r>
    <r>
      <rPr>
        <sz val="10"/>
        <rFont val="Noto Sans CJK SC"/>
        <family val="2"/>
      </rPr>
      <t xml:space="preserve">임무</t>
    </r>
  </si>
  <si>
    <t xml:space="preserve">Orbith 1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</si>
  <si>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미배정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</si>
  <si>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아르헨티나 </t>
    </r>
    <r>
      <rPr>
        <sz val="10"/>
        <rFont val="Arial"/>
        <family val="0"/>
        <charset val="1"/>
      </rPr>
      <t xml:space="preserve">(Orbith)</t>
    </r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</si>
  <si>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Astranis MicroGEO</t>
    </r>
  </si>
  <si>
    <t xml:space="preserve">Thaicom 9</t>
  </si>
  <si>
    <r>
      <rPr>
        <sz val="10"/>
        <rFont val="Noto Sans CJK SC"/>
        <family val="2"/>
      </rPr>
      <t xml:space="preserve">태국 </t>
    </r>
    <r>
      <rPr>
        <sz val="10"/>
        <rFont val="Arial"/>
        <family val="0"/>
        <charset val="1"/>
      </rPr>
      <t xml:space="preserve">(Thaicom)</t>
    </r>
  </si>
  <si>
    <t xml:space="preserve">Apco 1</t>
  </si>
  <si>
    <r>
      <rPr>
        <sz val="10"/>
        <rFont val="Noto Sans CJK SC"/>
        <family val="2"/>
      </rPr>
      <t xml:space="preserve">멕시코 </t>
    </r>
    <r>
      <rPr>
        <sz val="10"/>
        <rFont val="Arial"/>
        <family val="0"/>
        <charset val="1"/>
      </rPr>
      <t xml:space="preserve">(Apco Networks)</t>
    </r>
  </si>
  <si>
    <t xml:space="preserve">Apco 2</t>
  </si>
  <si>
    <t xml:space="preserve">Philippines Sat 1</t>
  </si>
  <si>
    <t xml:space="preserve">Inmarsat-8 F1</t>
  </si>
  <si>
    <r>
      <rPr>
        <sz val="10"/>
        <rFont val="Noto Sans CJK SC"/>
        <family val="2"/>
      </rPr>
      <t xml:space="preserve">영국 </t>
    </r>
    <r>
      <rPr>
        <sz val="10"/>
        <rFont val="Arial"/>
        <family val="0"/>
        <charset val="1"/>
      </rPr>
      <t xml:space="preserve">(Inmarsat)</t>
    </r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</si>
  <si>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SWISSto12 HummingSat</t>
    </r>
  </si>
  <si>
    <t xml:space="preserve">Inmarsat-8 F2</t>
  </si>
  <si>
    <t xml:space="preserve">Inmarsat-8 F3</t>
  </si>
  <si>
    <t xml:space="preserve">Arabsat 7A</t>
  </si>
  <si>
    <r>
      <rPr>
        <sz val="10"/>
        <rFont val="Noto Sans CJK SC"/>
        <family val="2"/>
      </rPr>
      <t xml:space="preserve">사우디 </t>
    </r>
    <r>
      <rPr>
        <sz val="10"/>
        <rFont val="Arial"/>
        <family val="0"/>
        <charset val="1"/>
      </rPr>
      <t xml:space="preserve">(Arabsat)</t>
    </r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</si>
  <si>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Thales Space-Inspire</t>
    </r>
  </si>
  <si>
    <t xml:space="preserve">Flexsat</t>
  </si>
  <si>
    <t xml:space="preserve">Optus 11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</si>
  <si>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Airbus OneSat</t>
    </r>
  </si>
  <si>
    <t xml:space="preserve">WGS 11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</si>
  <si>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Boeing BSS-702HP</t>
    </r>
  </si>
  <si>
    <t xml:space="preserve">ETS-9</t>
  </si>
  <si>
    <r>
      <rPr>
        <sz val="10"/>
        <rFont val="Noto Sans CJK SC"/>
        <family val="2"/>
      </rPr>
      <t xml:space="preserve">일본 </t>
    </r>
    <r>
      <rPr>
        <sz val="10"/>
        <rFont val="Arial"/>
        <family val="0"/>
        <charset val="1"/>
      </rPr>
      <t xml:space="preserve">(JAXA)</t>
    </r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</si>
  <si>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Mitsubishi Electric</t>
    </r>
  </si>
  <si>
    <t xml:space="preserve">JSAT 31</t>
  </si>
  <si>
    <r>
      <rPr>
        <sz val="10"/>
        <rFont val="Noto Sans CJK SC"/>
        <family val="2"/>
      </rPr>
      <t xml:space="preserve">일본 </t>
    </r>
    <r>
      <rPr>
        <sz val="10"/>
        <rFont val="Arial"/>
        <family val="0"/>
        <charset val="1"/>
      </rPr>
      <t xml:space="preserve">(SKY Perfect JSAT)</t>
    </r>
  </si>
  <si>
    <t xml:space="preserve">JSAT 32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</si>
  <si>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Thales Spacebus-4000B2</t>
    </r>
  </si>
  <si>
    <t xml:space="preserve">Thor 8</t>
  </si>
  <si>
    <r>
      <rPr>
        <sz val="10"/>
        <rFont val="Noto Sans CJK SC"/>
        <family val="2"/>
      </rPr>
      <t xml:space="preserve">노르웨이 </t>
    </r>
    <r>
      <rPr>
        <sz val="10"/>
        <rFont val="Arial"/>
        <family val="0"/>
        <charset val="1"/>
      </rPr>
      <t xml:space="preserve">(Space Norway)</t>
    </r>
  </si>
  <si>
    <t xml:space="preserve">OmanSat 1</t>
  </si>
  <si>
    <r>
      <rPr>
        <sz val="10"/>
        <rFont val="Noto Sans CJK SC"/>
        <family val="2"/>
      </rPr>
      <t xml:space="preserve">오만 </t>
    </r>
    <r>
      <rPr>
        <sz val="10"/>
        <rFont val="Arial"/>
        <family val="0"/>
        <charset val="1"/>
      </rPr>
      <t xml:space="preserve">(SCT)</t>
    </r>
  </si>
  <si>
    <t xml:space="preserve">Al Yah 4</t>
  </si>
  <si>
    <t xml:space="preserve">UAE (YahSat)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</si>
  <si>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Airbus Eurostar-Neo</t>
    </r>
  </si>
  <si>
    <t xml:space="preserve">Thaicom 10 (Flexsat Asia)</t>
  </si>
  <si>
    <t xml:space="preserve">Intelsat 42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</si>
  <si>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(Intelsat)</t>
    </r>
  </si>
  <si>
    <t xml:space="preserve">Intelsat 43</t>
  </si>
  <si>
    <t xml:space="preserve">Intelsat 45</t>
  </si>
  <si>
    <t xml:space="preserve">SES 26</t>
  </si>
  <si>
    <t xml:space="preserve">SXM-12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</si>
  <si>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Maxar SSL-1300</t>
    </r>
  </si>
  <si>
    <t xml:space="preserve">Superbird 9</t>
  </si>
  <si>
    <t xml:space="preserve">Skynet 6A</t>
  </si>
  <si>
    <r>
      <rPr>
        <sz val="10"/>
        <rFont val="Noto Sans CJK SC"/>
        <family val="2"/>
      </rPr>
      <t xml:space="preserve">영국 </t>
    </r>
    <r>
      <rPr>
        <sz val="10"/>
        <rFont val="Arial"/>
        <family val="0"/>
        <charset val="1"/>
      </rPr>
      <t xml:space="preserve">(UK MoD)</t>
    </r>
  </si>
  <si>
    <t xml:space="preserve">Al Yah 5</t>
  </si>
  <si>
    <t xml:space="preserve">COMSATBw 1B</t>
  </si>
  <si>
    <r>
      <rPr>
        <sz val="10"/>
        <rFont val="Noto Sans CJK SC"/>
        <family val="2"/>
      </rPr>
      <t xml:space="preserve">독일 </t>
    </r>
    <r>
      <rPr>
        <sz val="10"/>
        <rFont val="Arial"/>
        <family val="0"/>
        <charset val="1"/>
      </rPr>
      <t xml:space="preserve">(Bundeswehr)</t>
    </r>
  </si>
  <si>
    <t xml:space="preserve">COMSATBw 2B</t>
  </si>
  <si>
    <t xml:space="preserve">HUGEO</t>
  </si>
  <si>
    <r>
      <rPr>
        <sz val="10"/>
        <rFont val="Noto Sans CJK SC"/>
        <family val="2"/>
      </rPr>
      <t xml:space="preserve">헝가리 </t>
    </r>
    <r>
      <rPr>
        <sz val="10"/>
        <rFont val="Arial"/>
        <family val="0"/>
        <charset val="1"/>
      </rPr>
      <t xml:space="preserve">(4iG)</t>
    </r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</si>
  <si>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Northrop Grumman GEOStar-3</t>
    </r>
  </si>
  <si>
    <t xml:space="preserve">Spainsat NG III</t>
  </si>
  <si>
    <t xml:space="preserve">MUOS 6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</si>
  <si>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Boeing BSS-702MP</t>
    </r>
  </si>
  <si>
    <t xml:space="preserve">MUOS 7</t>
  </si>
  <si>
    <t xml:space="preserve">Inmarsat-8 F4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</si>
  <si>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SWISSto12 HummingSat / </t>
    </r>
    <r>
      <rPr>
        <sz val="10"/>
        <rFont val="Noto Sans CJK SC"/>
        <family val="2"/>
      </rPr>
      <t xml:space="preserve">발사시기 미정 </t>
    </r>
    <r>
      <rPr>
        <sz val="10"/>
        <rFont val="Arial"/>
        <family val="0"/>
        <charset val="1"/>
      </rPr>
      <t xml:space="preserve">(Gunter's </t>
    </r>
    <r>
      <rPr>
        <sz val="10"/>
        <rFont val="Noto Sans CJK SC"/>
        <family val="2"/>
      </rPr>
      <t xml:space="preserve">표기 </t>
    </r>
    <r>
      <rPr>
        <sz val="10"/>
        <rFont val="Arial"/>
        <family val="0"/>
        <charset val="1"/>
      </rPr>
      <t xml:space="preserve">'202x')</t>
    </r>
  </si>
  <si>
    <t xml:space="preserve">EchoStar 26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</si>
  <si>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Maxar SSL-1300 / </t>
    </r>
    <r>
      <rPr>
        <sz val="10"/>
        <rFont val="Noto Sans CJK SC"/>
        <family val="2"/>
      </rPr>
      <t xml:space="preserve">발사시기 미정 </t>
    </r>
    <r>
      <rPr>
        <sz val="10"/>
        <rFont val="Arial"/>
        <family val="0"/>
        <charset val="1"/>
      </rPr>
      <t xml:space="preserve">(Gunter's </t>
    </r>
    <r>
      <rPr>
        <sz val="10"/>
        <rFont val="Noto Sans CJK SC"/>
        <family val="2"/>
      </rPr>
      <t xml:space="preserve">표기 </t>
    </r>
    <r>
      <rPr>
        <sz val="10"/>
        <rFont val="Arial"/>
        <family val="0"/>
        <charset val="1"/>
      </rPr>
      <t xml:space="preserve">'202x')</t>
    </r>
  </si>
  <si>
    <t xml:space="preserve">Neastar 1</t>
  </si>
  <si>
    <t xml:space="preserve">Astrum Mobile</t>
  </si>
  <si>
    <r>
      <rPr>
        <sz val="10"/>
        <rFont val="Noto Sans CJK SC"/>
        <family val="2"/>
      </rPr>
      <t xml:space="preserve">미공개 고객건 </t>
    </r>
    <r>
      <rPr>
        <sz val="10"/>
        <rFont val="Arial"/>
        <family val="0"/>
        <charset val="1"/>
      </rPr>
      <t xml:space="preserve">(Maxar)</t>
    </r>
  </si>
  <si>
    <t xml:space="preserve">미공개</t>
  </si>
  <si>
    <t xml:space="preserve">WGS 12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</si>
  <si>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Boeing BSS-702HP / </t>
    </r>
    <r>
      <rPr>
        <sz val="10"/>
        <rFont val="Noto Sans CJK SC"/>
        <family val="2"/>
      </rPr>
      <t xml:space="preserve">발사시기 미정 </t>
    </r>
    <r>
      <rPr>
        <sz val="10"/>
        <rFont val="Arial"/>
        <family val="0"/>
        <charset val="1"/>
      </rPr>
      <t xml:space="preserve">(Gunter's </t>
    </r>
    <r>
      <rPr>
        <sz val="10"/>
        <rFont val="Noto Sans CJK SC"/>
        <family val="2"/>
      </rPr>
      <t xml:space="preserve">표기 </t>
    </r>
    <r>
      <rPr>
        <sz val="10"/>
        <rFont val="Arial"/>
        <family val="0"/>
        <charset val="1"/>
      </rPr>
      <t xml:space="preserve">'202x')</t>
    </r>
  </si>
  <si>
    <t xml:space="preserve">Andesat 1</t>
  </si>
  <si>
    <r>
      <rPr>
        <sz val="10"/>
        <rFont val="Noto Sans CJK SC"/>
        <family val="2"/>
      </rPr>
      <t xml:space="preserve">페루 </t>
    </r>
    <r>
      <rPr>
        <sz val="10"/>
        <rFont val="Arial"/>
        <family val="0"/>
        <charset val="1"/>
      </rPr>
      <t xml:space="preserve">(Grupo Andesat)</t>
    </r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</si>
  <si>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Astranis MicroGEO / </t>
    </r>
    <r>
      <rPr>
        <sz val="10"/>
        <rFont val="Noto Sans CJK SC"/>
        <family val="2"/>
      </rPr>
      <t xml:space="preserve">발사시기 미정 </t>
    </r>
    <r>
      <rPr>
        <sz val="10"/>
        <rFont val="Arial"/>
        <family val="0"/>
        <charset val="1"/>
      </rPr>
      <t xml:space="preserve">(Gunter's </t>
    </r>
    <r>
      <rPr>
        <sz val="10"/>
        <rFont val="Noto Sans CJK SC"/>
        <family val="2"/>
      </rPr>
      <t xml:space="preserve">표기 </t>
    </r>
    <r>
      <rPr>
        <sz val="10"/>
        <rFont val="Arial"/>
        <family val="0"/>
        <charset val="1"/>
      </rPr>
      <t xml:space="preserve">'202x')</t>
    </r>
  </si>
  <si>
    <t xml:space="preserve">Astra 1Q / SES 25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</si>
  <si>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Thales Space-Inspire / </t>
    </r>
    <r>
      <rPr>
        <sz val="10"/>
        <rFont val="Noto Sans CJK SC"/>
        <family val="2"/>
      </rPr>
      <t xml:space="preserve">발사시기 미정 </t>
    </r>
    <r>
      <rPr>
        <sz val="10"/>
        <rFont val="Arial"/>
        <family val="0"/>
        <charset val="1"/>
      </rPr>
      <t xml:space="preserve">(Gunter's </t>
    </r>
    <r>
      <rPr>
        <sz val="10"/>
        <rFont val="Noto Sans CJK SC"/>
        <family val="2"/>
      </rPr>
      <t xml:space="preserve">표기 </t>
    </r>
    <r>
      <rPr>
        <sz val="10"/>
        <rFont val="Arial"/>
        <family val="0"/>
        <charset val="1"/>
      </rPr>
      <t xml:space="preserve">'202x')</t>
    </r>
  </si>
  <si>
    <t xml:space="preserve">SICRAL 3A</t>
  </si>
  <si>
    <r>
      <rPr>
        <sz val="10"/>
        <rFont val="Noto Sans CJK SC"/>
        <family val="2"/>
      </rPr>
      <t xml:space="preserve">이탈리아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국방부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</si>
  <si>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Thales Spacebus-Neo / </t>
    </r>
    <r>
      <rPr>
        <sz val="10"/>
        <rFont val="Noto Sans CJK SC"/>
        <family val="2"/>
      </rPr>
      <t xml:space="preserve">발사시기 미정 </t>
    </r>
    <r>
      <rPr>
        <sz val="10"/>
        <rFont val="Arial"/>
        <family val="0"/>
        <charset val="1"/>
      </rPr>
      <t xml:space="preserve">(Gunter's </t>
    </r>
    <r>
      <rPr>
        <sz val="10"/>
        <rFont val="Noto Sans CJK SC"/>
        <family val="2"/>
      </rPr>
      <t xml:space="preserve">표기 </t>
    </r>
    <r>
      <rPr>
        <sz val="10"/>
        <rFont val="Arial"/>
        <family val="0"/>
        <charset val="1"/>
      </rPr>
      <t xml:space="preserve">'202x')</t>
    </r>
  </si>
  <si>
    <t xml:space="preserve">SICRAL 3B</t>
  </si>
  <si>
    <t xml:space="preserve">SES 23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</si>
  <si>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Thales Spacebus-4000B2 / </t>
    </r>
    <r>
      <rPr>
        <sz val="10"/>
        <rFont val="Noto Sans CJK SC"/>
        <family val="2"/>
      </rPr>
      <t xml:space="preserve">발사시기 미정 </t>
    </r>
    <r>
      <rPr>
        <sz val="10"/>
        <rFont val="Arial"/>
        <family val="0"/>
        <charset val="1"/>
      </rPr>
      <t xml:space="preserve">(Gunter's </t>
    </r>
    <r>
      <rPr>
        <sz val="10"/>
        <rFont val="Noto Sans CJK SC"/>
        <family val="2"/>
      </rPr>
      <t xml:space="preserve">표기 </t>
    </r>
    <r>
      <rPr>
        <sz val="10"/>
        <rFont val="Arial"/>
        <family val="0"/>
        <charset val="1"/>
      </rPr>
      <t xml:space="preserve">'202x')</t>
    </r>
  </si>
  <si>
    <t xml:space="preserve">Inmarsat-7 F2 (GX 8)</t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</si>
  <si>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Airbus OneSat / </t>
    </r>
    <r>
      <rPr>
        <sz val="10"/>
        <rFont val="Noto Sans CJK SC"/>
        <family val="2"/>
      </rPr>
      <t xml:space="preserve">발사시기 미정 </t>
    </r>
    <r>
      <rPr>
        <sz val="10"/>
        <rFont val="Arial"/>
        <family val="0"/>
        <charset val="1"/>
      </rPr>
      <t xml:space="preserve">(Gunter's </t>
    </r>
    <r>
      <rPr>
        <sz val="10"/>
        <rFont val="Noto Sans CJK SC"/>
        <family val="2"/>
      </rPr>
      <t xml:space="preserve">표기 </t>
    </r>
    <r>
      <rPr>
        <sz val="10"/>
        <rFont val="Arial"/>
        <family val="0"/>
        <charset val="1"/>
      </rPr>
      <t xml:space="preserve">'202x')</t>
    </r>
  </si>
  <si>
    <t xml:space="preserve">Inmarsat-7 F3 (GX 9)</t>
  </si>
  <si>
    <t xml:space="preserve">Silkwave 1 (NYBBSat 1)</t>
  </si>
  <si>
    <r>
      <rPr>
        <sz val="10"/>
        <rFont val="Noto Sans CJK SC"/>
        <family val="2"/>
      </rPr>
      <t xml:space="preserve">미국 </t>
    </r>
    <r>
      <rPr>
        <sz val="10"/>
        <rFont val="Arial"/>
        <family val="0"/>
        <charset val="1"/>
      </rPr>
      <t xml:space="preserve">(New York Broadband)</t>
    </r>
  </si>
  <si>
    <r>
      <rPr>
        <sz val="10"/>
        <rFont val="Noto Sans CJK SC"/>
        <family val="2"/>
      </rPr>
      <t xml:space="preserve">버스</t>
    </r>
    <r>
      <rPr>
        <sz val="10"/>
        <rFont val="Arial"/>
        <family val="0"/>
        <charset val="1"/>
      </rPr>
      <t xml:space="preserve">: Boeing BSS-702MP / </t>
    </r>
    <r>
      <rPr>
        <sz val="10"/>
        <rFont val="Noto Sans CJK SC"/>
        <family val="2"/>
      </rPr>
      <t xml:space="preserve">발사시기 미정 </t>
    </r>
    <r>
      <rPr>
        <sz val="10"/>
        <rFont val="Arial"/>
        <family val="0"/>
        <charset val="1"/>
      </rPr>
      <t xml:space="preserve">(Gunter's </t>
    </r>
    <r>
      <rPr>
        <sz val="10"/>
        <rFont val="Noto Sans CJK SC"/>
        <family val="2"/>
      </rPr>
      <t xml:space="preserve">표기 </t>
    </r>
    <r>
      <rPr>
        <sz val="10"/>
        <rFont val="Arial"/>
        <family val="0"/>
        <charset val="1"/>
      </rPr>
      <t xml:space="preserve">'202x')</t>
    </r>
  </si>
  <si>
    <r>
      <rPr>
        <b val="true"/>
        <sz val="12"/>
        <rFont val="Noto Sans CJK SC"/>
        <family val="2"/>
      </rPr>
      <t xml:space="preserve">연도별 </t>
    </r>
    <r>
      <rPr>
        <b val="true"/>
        <sz val="12"/>
        <rFont val="Arial"/>
        <family val="0"/>
        <charset val="1"/>
      </rPr>
      <t xml:space="preserve">GEO </t>
    </r>
    <r>
      <rPr>
        <b val="true"/>
        <sz val="12"/>
        <rFont val="Noto Sans CJK SC"/>
        <family val="2"/>
      </rPr>
      <t xml:space="preserve">투입 집계</t>
    </r>
  </si>
  <si>
    <r>
      <rPr>
        <i val="true"/>
        <sz val="9"/>
        <rFont val="Noto Sans CJK SC"/>
        <family val="2"/>
      </rPr>
      <t xml:space="preserve">모든 값은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Noto Sans CJK SC"/>
        <family val="2"/>
      </rPr>
      <t xml:space="preserve">발사데이터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Noto Sans CJK SC"/>
        <family val="2"/>
      </rPr>
      <t xml:space="preserve">시트를 참조하는 수식입니다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원본 시트를 수정하면 자동 갱신됩니다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</si>
  <si>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발사완료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</si>
  <si>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발사예정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</si>
  <si>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합계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</si>
  <si>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질량합계 </t>
    </r>
    <r>
      <rPr>
        <b val="true"/>
        <sz val="10"/>
        <color rgb="FFFFFFFF"/>
        <rFont val="Arial"/>
        <family val="0"/>
        <charset val="1"/>
      </rPr>
      <t xml:space="preserve">(kg, </t>
    </r>
    <r>
      <rPr>
        <b val="true"/>
        <sz val="10"/>
        <color rgb="FFFFFFFF"/>
        <rFont val="Noto Sans CJK SC"/>
        <family val="2"/>
      </rPr>
      <t xml:space="preserve">확인분만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</si>
  <si>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질량 미상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</si>
  <si>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평균질량 </t>
    </r>
    <r>
      <rPr>
        <b val="true"/>
        <sz val="10"/>
        <color rgb="FFFFFFFF"/>
        <rFont val="Arial"/>
        <family val="0"/>
        <charset val="1"/>
      </rPr>
      <t xml:space="preserve">(kg, </t>
    </r>
    <r>
      <rPr>
        <b val="true"/>
        <sz val="10"/>
        <color rgb="FFFFFFFF"/>
        <rFont val="Noto Sans CJK SC"/>
        <family val="2"/>
      </rPr>
      <t xml:space="preserve">확인분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</si>
  <si>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합계</t>
  </si>
  <si>
    <r>
      <rPr>
        <i val="true"/>
        <sz val="9"/>
        <rFont val="Arial"/>
        <family val="0"/>
        <charset val="1"/>
      </rPr>
      <t xml:space="preserve">* </t>
    </r>
    <r>
      <rPr>
        <i val="true"/>
        <sz val="9"/>
        <rFont val="Noto Sans CJK SC"/>
        <family val="2"/>
      </rPr>
      <t xml:space="preserve">발사연도 </t>
    </r>
    <r>
      <rPr>
        <i val="true"/>
        <sz val="9"/>
        <rFont val="Arial"/>
        <family val="0"/>
        <charset val="1"/>
      </rPr>
      <t xml:space="preserve">9999 = </t>
    </r>
    <r>
      <rPr>
        <i val="true"/>
        <sz val="9"/>
        <rFont val="Noto Sans CJK SC"/>
        <family val="2"/>
      </rPr>
      <t xml:space="preserve">발주는 됐으나 발사시기 미정</t>
    </r>
    <r>
      <rPr>
        <i val="true"/>
        <sz val="9"/>
        <rFont val="Arial"/>
        <family val="0"/>
        <charset val="1"/>
      </rPr>
      <t xml:space="preserve">(Gunter's </t>
    </r>
    <r>
      <rPr>
        <i val="true"/>
        <sz val="9"/>
        <rFont val="Noto Sans CJK SC"/>
        <family val="2"/>
      </rPr>
      <t xml:space="preserve">표기 </t>
    </r>
    <r>
      <rPr>
        <i val="true"/>
        <sz val="9"/>
        <rFont val="Arial"/>
        <family val="0"/>
        <charset val="1"/>
      </rPr>
      <t xml:space="preserve">'202x')</t>
    </r>
  </si>
  <si>
    <r>
      <rPr>
        <i val="true"/>
        <sz val="9"/>
        <rFont val="Arial"/>
        <family val="0"/>
        <charset val="1"/>
      </rPr>
      <t xml:space="preserve">* '</t>
    </r>
    <r>
      <rPr>
        <i val="true"/>
        <sz val="9"/>
        <rFont val="Noto Sans CJK SC"/>
        <family val="2"/>
      </rPr>
      <t xml:space="preserve">질량합계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Noto Sans CJK SC"/>
        <family val="2"/>
      </rPr>
      <t xml:space="preserve">는 총질량이 알려진 위성만 더한 값입니다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미상 위성이 많은 연도는 과소집계됩니다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</si>
  <si>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3"/>
        <color rgb="FF1F3864"/>
        <rFont val="Arial"/>
        <family val="0"/>
        <charset val="1"/>
      </rPr>
      <t xml:space="preserve">GEO </t>
    </r>
    <r>
      <rPr>
        <b val="true"/>
        <sz val="13"/>
        <color rgb="FF1F3864"/>
        <rFont val="Noto Sans CJK SC"/>
        <family val="2"/>
      </rPr>
      <t xml:space="preserve">투입 위성 데이터셋 </t>
    </r>
    <r>
      <rPr>
        <b val="true"/>
        <sz val="13"/>
        <color rgb="FF1F3864"/>
        <rFont val="Arial"/>
        <family val="0"/>
        <charset val="1"/>
      </rPr>
      <t xml:space="preserve">(2024 - 2026 </t>
    </r>
    <r>
      <rPr>
        <b val="true"/>
        <sz val="13"/>
        <color rgb="FF1F3864"/>
        <rFont val="Noto Sans CJK SC"/>
        <family val="2"/>
      </rPr>
      <t xml:space="preserve">및 이후 발사예정</t>
    </r>
    <r>
      <rPr>
        <b val="true"/>
        <sz val="13"/>
        <color rgb="FF1F3864"/>
        <rFont val="Arial"/>
        <family val="0"/>
        <charset val="1"/>
      </rPr>
      <t xml:space="preserve">) — </t>
    </r>
    <r>
      <rPr>
        <b val="true"/>
        <sz val="13"/>
        <color rgb="FF1F3864"/>
        <rFont val="Noto Sans CJK SC"/>
        <family val="2"/>
      </rPr>
      <t xml:space="preserve">중국</t>
    </r>
    <r>
      <rPr>
        <b val="true"/>
        <sz val="13"/>
        <color rgb="FF1F3864"/>
        <rFont val="Arial"/>
        <family val="0"/>
        <charset val="1"/>
      </rPr>
      <t xml:space="preserve">·</t>
    </r>
    <r>
      <rPr>
        <b val="true"/>
        <sz val="13"/>
        <color rgb="FF1F3864"/>
        <rFont val="Noto Sans CJK SC"/>
        <family val="2"/>
      </rPr>
      <t xml:space="preserve">러시아 제외</t>
    </r>
  </si>
  <si>
    <t xml:space="preserve">■ 수록 범위</t>
  </si>
  <si>
    <r>
      <rPr>
        <sz val="10"/>
        <rFont val="Arial"/>
        <family val="0"/>
        <charset val="1"/>
      </rPr>
      <t xml:space="preserve">GEO</t>
    </r>
    <r>
      <rPr>
        <sz val="10"/>
        <rFont val="Noto Sans CJK SC"/>
        <family val="2"/>
      </rPr>
      <t xml:space="preserve">를 최종 목적지로 하는 위성 </t>
    </r>
    <r>
      <rPr>
        <sz val="10"/>
        <rFont val="Arial"/>
        <family val="0"/>
        <charset val="1"/>
      </rPr>
      <t xml:space="preserve">(GTO / GEO </t>
    </r>
    <r>
      <rPr>
        <sz val="10"/>
        <rFont val="Noto Sans CJK SC"/>
        <family val="2"/>
      </rPr>
      <t xml:space="preserve">직접투입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준정지천이권도 포함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</si>
  <si>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운용주체 기준으로 중국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러시아 위성은 전부 제외했습니다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</si>
  <si>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</t>
    </r>
    <r>
      <rPr>
        <sz val="10"/>
        <rFont val="Arial"/>
        <family val="0"/>
        <charset val="1"/>
      </rPr>
      <t xml:space="preserve">, Jam-e Jam 1</t>
    </r>
    <r>
      <rPr>
        <sz val="10"/>
        <rFont val="Noto Sans CJK SC"/>
        <family val="2"/>
      </rPr>
      <t xml:space="preserve">은 러시아가 제작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발사했지만 운용주체가 이란이라 포함됐습니다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</si>
  <si>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MEO(GPS, Galileo, O3b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), HEO/</t>
    </r>
    <r>
      <rPr>
        <sz val="10"/>
        <rFont val="Noto Sans CJK SC"/>
        <family val="2"/>
      </rPr>
      <t xml:space="preserve">몰니야</t>
    </r>
    <r>
      <rPr>
        <sz val="10"/>
        <rFont val="Arial"/>
        <family val="0"/>
        <charset val="1"/>
      </rPr>
      <t xml:space="preserve">(ASBM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), LEO</t>
    </r>
    <r>
      <rPr>
        <sz val="10"/>
        <rFont val="Noto Sans CJK SC"/>
        <family val="2"/>
      </rPr>
      <t xml:space="preserve">는 제외했습니다</t>
    </r>
    <r>
      <rPr>
        <sz val="10"/>
        <rFont val="Arial"/>
        <family val="0"/>
        <charset val="1"/>
      </rPr>
      <t xml:space="preserve">.</t>
    </r>
  </si>
  <si>
    <t xml:space="preserve">■ 컬럼 설명</t>
  </si>
  <si>
    <r>
      <rPr>
        <sz val="10"/>
        <rFont val="Noto Sans CJK SC"/>
        <family val="2"/>
      </rPr>
      <t xml:space="preserve">발사일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실제 발사일</t>
    </r>
    <r>
      <rPr>
        <sz val="10"/>
        <rFont val="Arial"/>
        <family val="0"/>
        <charset val="1"/>
      </rPr>
      <t xml:space="preserve">(UTC). </t>
    </r>
    <r>
      <rPr>
        <sz val="10"/>
        <rFont val="Noto Sans CJK SC"/>
        <family val="2"/>
      </rPr>
      <t xml:space="preserve">발사예정 건은 대부분 공란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발사연도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 채워져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</si>
  <si>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총질량</t>
    </r>
    <r>
      <rPr>
        <sz val="10"/>
        <rFont val="Arial"/>
        <family val="0"/>
        <charset val="1"/>
      </rPr>
      <t xml:space="preserve">_kg : </t>
    </r>
    <r>
      <rPr>
        <sz val="10"/>
        <rFont val="Noto Sans CJK SC"/>
        <family val="2"/>
      </rPr>
      <t xml:space="preserve">발사질량</t>
    </r>
    <r>
      <rPr>
        <sz val="10"/>
        <rFont val="Arial"/>
        <family val="0"/>
        <charset val="1"/>
      </rPr>
      <t xml:space="preserve">(launch mass, </t>
    </r>
    <r>
      <rPr>
        <sz val="10"/>
        <rFont val="Noto Sans CJK SC"/>
        <family val="2"/>
      </rPr>
      <t xml:space="preserve">추진제 포함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파란색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외부 출처에서 가져온 입력값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</si>
  <si>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건조질량</t>
    </r>
    <r>
      <rPr>
        <sz val="10"/>
        <rFont val="Arial"/>
        <family val="0"/>
        <charset val="1"/>
      </rPr>
      <t xml:space="preserve">_kg : dry mass. </t>
    </r>
    <r>
      <rPr>
        <sz val="10"/>
        <rFont val="Noto Sans CJK SC"/>
        <family val="2"/>
      </rPr>
      <t xml:space="preserve">공개된 경우만 기재 — 대부분 공란입니다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</si>
  <si>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질량신뢰도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공표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운용사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제조사 발표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버스 계열 기반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미상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</si>
  <si>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권도투입방식 </t>
    </r>
    <r>
      <rPr>
        <sz val="10"/>
        <rFont val="Arial"/>
        <family val="0"/>
        <charset val="1"/>
      </rPr>
      <t xml:space="preserve">: GTO / </t>
    </r>
    <r>
      <rPr>
        <sz val="10"/>
        <rFont val="Noto Sans CJK SC"/>
        <family val="2"/>
      </rPr>
      <t xml:space="preserve">고에너지 </t>
    </r>
    <r>
      <rPr>
        <sz val="10"/>
        <rFont val="Arial"/>
        <family val="0"/>
        <charset val="1"/>
      </rPr>
      <t xml:space="preserve">GTO / GEO</t>
    </r>
    <r>
      <rPr>
        <sz val="10"/>
        <rFont val="Noto Sans CJK SC"/>
        <family val="2"/>
      </rPr>
      <t xml:space="preserve">직접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준정지천이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미상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델타</t>
    </r>
    <r>
      <rPr>
        <sz val="10"/>
        <rFont val="Arial"/>
        <family val="0"/>
        <charset val="1"/>
      </rPr>
      <t xml:space="preserve">-V </t>
    </r>
    <r>
      <rPr>
        <sz val="10"/>
        <rFont val="Noto Sans CJK SC"/>
        <family val="2"/>
      </rPr>
      <t xml:space="preserve">모델링용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</si>
  <si>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발사연도 </t>
    </r>
    <r>
      <rPr>
        <sz val="10"/>
        <rFont val="Arial"/>
        <family val="0"/>
        <charset val="1"/>
      </rPr>
      <t xml:space="preserve">9999 : </t>
    </r>
    <r>
      <rPr>
        <sz val="10"/>
        <rFont val="Noto Sans CJK SC"/>
        <family val="2"/>
      </rPr>
      <t xml:space="preserve">발주는 완료됐으나 발사시기 미정 </t>
    </r>
    <r>
      <rPr>
        <sz val="10"/>
        <rFont val="Arial"/>
        <family val="0"/>
        <charset val="1"/>
      </rPr>
      <t xml:space="preserve">(Gunter's </t>
    </r>
    <r>
      <rPr>
        <sz val="10"/>
        <rFont val="Noto Sans CJK SC"/>
        <family val="2"/>
      </rPr>
      <t xml:space="preserve">표기 </t>
    </r>
    <r>
      <rPr>
        <sz val="10"/>
        <rFont val="Arial"/>
        <family val="0"/>
        <charset val="1"/>
      </rPr>
      <t xml:space="preserve">'202x').</t>
    </r>
  </si>
  <si>
    <t xml:space="preserve">■ 데이터 출처</t>
  </si>
  <si>
    <r>
      <rPr>
        <sz val="10"/>
        <rFont val="Noto Sans CJK SC"/>
        <family val="2"/>
      </rPr>
      <t xml:space="preserve">발사 실적 </t>
    </r>
    <r>
      <rPr>
        <sz val="10"/>
        <rFont val="Arial"/>
        <family val="0"/>
        <charset val="1"/>
      </rPr>
      <t xml:space="preserve">: Gunter's Space Page (Orbital Launches of 2026), Wikipedia </t>
    </r>
    <r>
      <rPr>
        <sz val="10"/>
        <rFont val="Noto Sans CJK SC"/>
        <family val="2"/>
      </rPr>
      <t xml:space="preserve">발사 목록</t>
    </r>
    <r>
      <rPr>
        <sz val="10"/>
        <rFont val="Arial"/>
        <family val="0"/>
        <charset val="1"/>
      </rPr>
      <t xml:space="preserve">,</t>
    </r>
  </si>
  <si>
    <r>
      <rPr>
        <sz val="10"/>
        <rFont val="Arial"/>
        <family val="0"/>
        <charset val="1"/>
      </rPr>
      <t xml:space="preserve">  SpaceNews, NASASpaceflight, Spaceflight Now, </t>
    </r>
    <r>
      <rPr>
        <sz val="10"/>
        <rFont val="Noto Sans CJK SC"/>
        <family val="2"/>
      </rPr>
      <t xml:space="preserve">각 운용사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기관 발표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</si>
  <si>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수주 잔고 </t>
    </r>
    <r>
      <rPr>
        <sz val="10"/>
        <rFont val="Arial"/>
        <family val="0"/>
        <charset val="1"/>
      </rPr>
      <t xml:space="preserve">: Gunter's Space Page, 'Recently awarded GEO-Sat Contracts'.</t>
    </r>
  </si>
  <si>
    <r>
      <rPr>
        <sz val="10"/>
        <rFont val="Arial"/>
        <family val="0"/>
        <charset val="1"/>
      </rPr>
      <t xml:space="preserve">  (</t>
    </r>
    <r>
      <rPr>
        <sz val="10"/>
        <rFont val="Noto Sans CJK SC"/>
        <family val="2"/>
      </rPr>
      <t xml:space="preserve">해당 사이트 정책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학습 목적 사용 불가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출처 표기 시 요약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검색 활용 허용</t>
    </r>
    <r>
      <rPr>
        <sz val="10"/>
        <rFont val="Arial"/>
        <family val="0"/>
        <charset val="1"/>
      </rPr>
      <t xml:space="preserve">)</t>
    </r>
  </si>
  <si>
    <t xml:space="preserve">■ 알려진 한계 — 사용 전 반드시 확인</t>
  </si>
  <si>
    <r>
      <rPr>
        <sz val="10"/>
        <rFont val="Arial"/>
        <family val="0"/>
        <charset val="1"/>
      </rPr>
      <t xml:space="preserve">1) 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4–8</t>
    </r>
    <r>
      <rPr>
        <sz val="10"/>
        <rFont val="Noto Sans CJK SC"/>
        <family val="2"/>
      </rPr>
      <t xml:space="preserve">월 구간이 불완전합니다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참조한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년 발사 목록이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월 중순까지만</t>
    </r>
  </si>
  <si>
    <r>
      <rPr>
        <sz val="10"/>
        <rFont val="Noto Sans CJK SC"/>
        <family val="2"/>
      </rPr>
      <t xml:space="preserve">   확인됐고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이후는 개별 검색으로 찾은 건만 들어 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</si>
  <si>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ViaSat-3 F3(4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SXM-11(6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발사체가 미확인 상태입니다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</si>
  <si>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2) </t>
    </r>
    <r>
      <rPr>
        <sz val="10"/>
        <rFont val="Noto Sans CJK SC"/>
        <family val="2"/>
      </rPr>
      <t xml:space="preserve">미공개 군용 위성</t>
    </r>
    <r>
      <rPr>
        <sz val="10"/>
        <rFont val="Arial"/>
        <family val="0"/>
        <charset val="1"/>
      </rPr>
      <t xml:space="preserve">(USSF, NRO, Optus-X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질량이 공표되지 않습니다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</si>
  <si>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3) </t>
    </r>
    <r>
      <rPr>
        <sz val="10"/>
        <rFont val="Noto Sans CJK SC"/>
        <family val="2"/>
      </rPr>
      <t xml:space="preserve">수주 잔고의 발사연도는 계약 시점 계획치이며 실제로는 지연되는 경우가 많습니다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</si>
  <si>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과거 실적 기준 리드타임은 상업용 중앙값 </t>
    </r>
    <r>
      <rPr>
        <sz val="10"/>
        <rFont val="Arial"/>
        <family val="0"/>
        <charset val="1"/>
      </rPr>
      <t xml:space="preserve">3~4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군용은 </t>
    </r>
    <r>
      <rPr>
        <sz val="10"/>
        <rFont val="Arial"/>
        <family val="0"/>
        <charset val="1"/>
      </rPr>
      <t xml:space="preserve">6~10</t>
    </r>
    <r>
      <rPr>
        <sz val="10"/>
        <rFont val="Noto Sans CJK SC"/>
        <family val="2"/>
      </rPr>
      <t xml:space="preserve">년까지 늘어집니다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</si>
  <si>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4) </t>
    </r>
    <r>
      <rPr>
        <sz val="10"/>
        <rFont val="Noto Sans CJK SC"/>
        <family val="2"/>
      </rPr>
      <t xml:space="preserve">잔고는 하한입니다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향후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년 내 신규 발주분이 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년 이후 발사에 추가됩니다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</si>
  <si>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5) </t>
    </r>
    <r>
      <rPr>
        <sz val="10"/>
        <rFont val="Noto Sans CJK SC"/>
        <family val="2"/>
      </rPr>
      <t xml:space="preserve">중국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러시아를 제외했으므로 이 파일은 전 세계 </t>
    </r>
    <r>
      <rPr>
        <sz val="10"/>
        <rFont val="Arial"/>
        <family val="0"/>
        <charset val="1"/>
      </rPr>
      <t xml:space="preserve">GEO </t>
    </r>
    <r>
      <rPr>
        <sz val="10"/>
        <rFont val="Noto Sans CJK SC"/>
        <family val="2"/>
      </rPr>
      <t xml:space="preserve">트래픽의 절반 정도만</t>
    </r>
  </si>
  <si>
    <r>
      <rPr>
        <sz val="10"/>
        <rFont val="Noto Sans CJK SC"/>
        <family val="2"/>
      </rPr>
      <t xml:space="preserve">   대표합니다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상업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서방 시장 분석에는 적합하나 전역 수요 추정에는 부족합니다</t>
    </r>
    <r>
      <rPr>
        <sz val="10"/>
        <rFont val="Arial"/>
        <family val="0"/>
        <charset val="1"/>
      </rPr>
      <t xml:space="preserve">.</t>
    </r>
  </si>
  <si>
    <t xml:space="preserve">■ 교차검증 권장 소스</t>
  </si>
  <si>
    <r>
      <rPr>
        <sz val="10"/>
        <rFont val="Arial"/>
        <family val="0"/>
        <charset val="1"/>
      </rPr>
      <t xml:space="preserve">CelesTrak SATCAT / GEO </t>
    </r>
    <r>
      <rPr>
        <sz val="10"/>
        <rFont val="Noto Sans CJK SC"/>
        <family val="2"/>
      </rPr>
      <t xml:space="preserve">카탈로그</t>
    </r>
    <r>
      <rPr>
        <sz val="10"/>
        <rFont val="Arial"/>
        <family val="0"/>
        <charset val="1"/>
      </rPr>
      <t xml:space="preserve">, Jonathan McDowell GCAT (planet4589.org),</t>
    </r>
  </si>
  <si>
    <r>
      <rPr>
        <sz val="10"/>
        <rFont val="Arial"/>
        <family val="0"/>
        <charset val="1"/>
      </rPr>
      <t xml:space="preserve">satsig.net GEO </t>
    </r>
    <r>
      <rPr>
        <sz val="10"/>
        <rFont val="Noto Sans CJK SC"/>
        <family val="2"/>
      </rPr>
      <t xml:space="preserve">목록</t>
    </r>
    <r>
      <rPr>
        <sz val="10"/>
        <rFont val="Arial"/>
        <family val="0"/>
        <charset val="1"/>
      </rPr>
      <t xml:space="preserve">, orbitalfocus.uk Geosynchronous Satellites.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</si>
</sst>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11"/>
      <color rgb="FF1F3864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0"/>
    <col collapsed="false" customWidth="true" hidden="false" outlineLevel="0" max="9" min="8" style="0" width="24"/>
    <col collapsed="false" customWidth="true" hidden="false" outlineLevel="0" max="10" min="10" style="0" width="11"/>
    <col collapsed="false" customWidth="true" hidden="false" outlineLevel="0" max="11" min="11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3" t="n">
        <v>1500</v>
      </c>
      <c r="E2" s="2"/>
      <c r="F2" s="4" t="n">
        <v>2024</v>
      </c>
      <c r="G2" s="5" t="s">
        <v>14</v>
      </c>
      <c r="H2" s="5" t="s">
        <v>15</v>
      </c>
      <c r="I2" s="2" t="s">
        <v>16</v>
      </c>
      <c r="J2" s="5" t="s">
        <v>17</v>
      </c>
      <c r="K2" s="6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3" t="n">
        <v>2274</v>
      </c>
      <c r="E3" s="3" t="n">
        <v>907</v>
      </c>
      <c r="F3" s="4" t="n">
        <v>2024</v>
      </c>
      <c r="G3" s="5" t="s">
        <v>14</v>
      </c>
      <c r="H3" s="5" t="s">
        <v>22</v>
      </c>
      <c r="I3" s="2" t="s">
        <v>16</v>
      </c>
      <c r="J3" s="5" t="s">
        <v>23</v>
      </c>
      <c r="K3" s="7" t="s">
        <v>24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13</v>
      </c>
      <c r="D4" s="3" t="n">
        <v>5000</v>
      </c>
      <c r="E4" s="2"/>
      <c r="F4" s="4" t="n">
        <v>2024</v>
      </c>
      <c r="G4" s="5" t="s">
        <v>14</v>
      </c>
      <c r="H4" s="5" t="s">
        <v>27</v>
      </c>
      <c r="I4" s="2" t="s">
        <v>16</v>
      </c>
      <c r="J4" s="5" t="s">
        <v>17</v>
      </c>
      <c r="K4" s="6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/>
      <c r="E5" s="2"/>
      <c r="F5" s="4" t="n">
        <v>2024</v>
      </c>
      <c r="G5" s="5" t="s">
        <v>14</v>
      </c>
      <c r="H5" s="5" t="s">
        <v>32</v>
      </c>
      <c r="I5" s="2" t="s">
        <v>33</v>
      </c>
      <c r="J5" s="5" t="s">
        <v>34</v>
      </c>
      <c r="K5" s="6" t="s">
        <v>35</v>
      </c>
    </row>
    <row r="6" customFormat="false" ht="15" hidden="false" customHeight="false" outlineLevel="0" collapsed="false">
      <c r="A6" s="2" t="s">
        <v>36</v>
      </c>
      <c r="B6" s="2" t="s">
        <v>37</v>
      </c>
      <c r="C6" s="2" t="s">
        <v>13</v>
      </c>
      <c r="D6" s="3" t="n">
        <v>5000</v>
      </c>
      <c r="E6" s="3" t="n">
        <v>3780</v>
      </c>
      <c r="F6" s="4" t="n">
        <v>2024</v>
      </c>
      <c r="G6" s="5" t="s">
        <v>14</v>
      </c>
      <c r="H6" s="5" t="s">
        <v>38</v>
      </c>
      <c r="I6" s="2" t="s">
        <v>16</v>
      </c>
      <c r="J6" s="5" t="s">
        <v>17</v>
      </c>
      <c r="K6" s="6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3" t="n">
        <v>5192</v>
      </c>
      <c r="E7" s="2"/>
      <c r="F7" s="4" t="n">
        <v>2024</v>
      </c>
      <c r="G7" s="5" t="s">
        <v>14</v>
      </c>
      <c r="H7" s="5" t="s">
        <v>43</v>
      </c>
      <c r="I7" s="2" t="s">
        <v>16</v>
      </c>
      <c r="J7" s="5" t="s">
        <v>23</v>
      </c>
      <c r="K7" s="7" t="s">
        <v>24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13</v>
      </c>
      <c r="D8" s="3" t="n">
        <v>4250</v>
      </c>
      <c r="E8" s="2"/>
      <c r="F8" s="4" t="n">
        <v>2024</v>
      </c>
      <c r="G8" s="5" t="s">
        <v>14</v>
      </c>
      <c r="H8" s="5" t="s">
        <v>46</v>
      </c>
      <c r="I8" s="2" t="s">
        <v>16</v>
      </c>
      <c r="J8" s="5" t="s">
        <v>23</v>
      </c>
      <c r="K8" s="7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/>
      <c r="E9" s="2"/>
      <c r="F9" s="4" t="n">
        <v>2024</v>
      </c>
      <c r="G9" s="5" t="s">
        <v>14</v>
      </c>
      <c r="H9" s="5" t="s">
        <v>51</v>
      </c>
      <c r="I9" s="2" t="s">
        <v>33</v>
      </c>
      <c r="J9" s="5" t="s">
        <v>34</v>
      </c>
      <c r="K9" s="7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/>
      <c r="E10" s="2"/>
      <c r="F10" s="4" t="n">
        <v>2024</v>
      </c>
      <c r="G10" s="5" t="s">
        <v>14</v>
      </c>
      <c r="H10" s="5" t="s">
        <v>56</v>
      </c>
      <c r="I10" s="2" t="s">
        <v>16</v>
      </c>
      <c r="J10" s="5" t="s">
        <v>34</v>
      </c>
      <c r="K10" s="6" t="s">
        <v>57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13</v>
      </c>
      <c r="D11" s="3" t="n">
        <v>3500</v>
      </c>
      <c r="E11" s="2"/>
      <c r="F11" s="4" t="n">
        <v>2024</v>
      </c>
      <c r="G11" s="5" t="s">
        <v>14</v>
      </c>
      <c r="H11" s="5" t="s">
        <v>60</v>
      </c>
      <c r="I11" s="2" t="s">
        <v>16</v>
      </c>
      <c r="J11" s="5" t="s">
        <v>23</v>
      </c>
      <c r="K11" s="6" t="s">
        <v>61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13</v>
      </c>
      <c r="D12" s="2"/>
      <c r="E12" s="2"/>
      <c r="F12" s="4" t="n">
        <v>2024</v>
      </c>
      <c r="G12" s="5" t="s">
        <v>14</v>
      </c>
      <c r="H12" s="5" t="s">
        <v>64</v>
      </c>
      <c r="I12" s="2" t="s">
        <v>16</v>
      </c>
      <c r="J12" s="5" t="s">
        <v>34</v>
      </c>
      <c r="K12" s="7" t="s">
        <v>65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13</v>
      </c>
      <c r="D13" s="3" t="n">
        <v>4700</v>
      </c>
      <c r="E13" s="2"/>
      <c r="F13" s="4" t="n">
        <v>2024</v>
      </c>
      <c r="G13" s="5" t="s">
        <v>14</v>
      </c>
      <c r="H13" s="5" t="s">
        <v>68</v>
      </c>
      <c r="I13" s="2" t="s">
        <v>16</v>
      </c>
      <c r="J13" s="5" t="s">
        <v>23</v>
      </c>
      <c r="K13" s="6" t="s">
        <v>69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13</v>
      </c>
      <c r="D14" s="3" t="n">
        <v>7000</v>
      </c>
      <c r="E14" s="2"/>
      <c r="F14" s="4" t="n">
        <v>2024</v>
      </c>
      <c r="G14" s="5" t="s">
        <v>14</v>
      </c>
      <c r="H14" s="5" t="s">
        <v>72</v>
      </c>
      <c r="I14" s="2" t="s">
        <v>16</v>
      </c>
      <c r="J14" s="5" t="s">
        <v>17</v>
      </c>
      <c r="K14" s="6" t="s">
        <v>73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13</v>
      </c>
      <c r="D15" s="3" t="n">
        <v>400</v>
      </c>
      <c r="E15" s="2"/>
      <c r="F15" s="4" t="n">
        <v>2024</v>
      </c>
      <c r="G15" s="5" t="s">
        <v>14</v>
      </c>
      <c r="H15" s="5" t="s">
        <v>76</v>
      </c>
      <c r="I15" s="2" t="s">
        <v>16</v>
      </c>
      <c r="J15" s="5" t="s">
        <v>17</v>
      </c>
      <c r="K15" s="6" t="s">
        <v>77</v>
      </c>
    </row>
    <row r="16" customFormat="false" ht="15" hidden="false" customHeight="false" outlineLevel="0" collapsed="false">
      <c r="A16" s="2" t="s">
        <v>74</v>
      </c>
      <c r="B16" s="2" t="s">
        <v>78</v>
      </c>
      <c r="C16" s="2" t="s">
        <v>13</v>
      </c>
      <c r="D16" s="3" t="n">
        <v>400</v>
      </c>
      <c r="E16" s="2"/>
      <c r="F16" s="4" t="n">
        <v>2024</v>
      </c>
      <c r="G16" s="5" t="s">
        <v>14</v>
      </c>
      <c r="H16" s="5" t="s">
        <v>79</v>
      </c>
      <c r="I16" s="2" t="s">
        <v>16</v>
      </c>
      <c r="J16" s="5" t="s">
        <v>17</v>
      </c>
      <c r="K16" s="6" t="s">
        <v>80</v>
      </c>
    </row>
    <row r="17" customFormat="false" ht="15" hidden="false" customHeight="false" outlineLevel="0" collapsed="false">
      <c r="A17" s="2" t="s">
        <v>74</v>
      </c>
      <c r="B17" s="2" t="s">
        <v>81</v>
      </c>
      <c r="C17" s="2" t="s">
        <v>13</v>
      </c>
      <c r="D17" s="3" t="n">
        <v>400</v>
      </c>
      <c r="E17" s="2"/>
      <c r="F17" s="4" t="n">
        <v>2024</v>
      </c>
      <c r="G17" s="5" t="s">
        <v>14</v>
      </c>
      <c r="H17" s="5" t="s">
        <v>79</v>
      </c>
      <c r="I17" s="2" t="s">
        <v>16</v>
      </c>
      <c r="J17" s="5" t="s">
        <v>17</v>
      </c>
      <c r="K17" s="6" t="s">
        <v>80</v>
      </c>
    </row>
    <row r="18" customFormat="false" ht="15" hidden="false" customHeight="false" outlineLevel="0" collapsed="false">
      <c r="A18" s="2" t="s">
        <v>74</v>
      </c>
      <c r="B18" s="2" t="s">
        <v>82</v>
      </c>
      <c r="C18" s="2" t="s">
        <v>13</v>
      </c>
      <c r="D18" s="3" t="n">
        <v>400</v>
      </c>
      <c r="E18" s="2"/>
      <c r="F18" s="4" t="n">
        <v>2024</v>
      </c>
      <c r="G18" s="5" t="s">
        <v>14</v>
      </c>
      <c r="H18" s="5" t="s">
        <v>83</v>
      </c>
      <c r="I18" s="2" t="s">
        <v>16</v>
      </c>
      <c r="J18" s="5" t="s">
        <v>17</v>
      </c>
      <c r="K18" s="6" t="s">
        <v>84</v>
      </c>
    </row>
    <row r="19" customFormat="false" ht="15" hidden="false" customHeight="false" outlineLevel="0" collapsed="false">
      <c r="A19" s="2" t="s">
        <v>85</v>
      </c>
      <c r="B19" s="2" t="s">
        <v>86</v>
      </c>
      <c r="C19" s="2" t="s">
        <v>13</v>
      </c>
      <c r="D19" s="3" t="n">
        <v>5000</v>
      </c>
      <c r="E19" s="2"/>
      <c r="F19" s="4" t="n">
        <v>2025</v>
      </c>
      <c r="G19" s="5" t="s">
        <v>14</v>
      </c>
      <c r="H19" s="2" t="s">
        <v>87</v>
      </c>
      <c r="I19" s="2" t="s">
        <v>16</v>
      </c>
      <c r="J19" s="5" t="s">
        <v>17</v>
      </c>
      <c r="K19" s="6" t="s">
        <v>88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91</v>
      </c>
      <c r="D20" s="3" t="n">
        <v>2250</v>
      </c>
      <c r="E20" s="2"/>
      <c r="F20" s="4" t="n">
        <v>2025</v>
      </c>
      <c r="G20" s="5" t="s">
        <v>14</v>
      </c>
      <c r="H20" s="5" t="s">
        <v>92</v>
      </c>
      <c r="I20" s="2" t="s">
        <v>16</v>
      </c>
      <c r="J20" s="5" t="s">
        <v>23</v>
      </c>
      <c r="K20" s="6" t="s">
        <v>93</v>
      </c>
    </row>
    <row r="21" customFormat="false" ht="15" hidden="false" customHeight="false" outlineLevel="0" collapsed="false">
      <c r="A21" s="2" t="s">
        <v>94</v>
      </c>
      <c r="B21" s="2" t="s">
        <v>95</v>
      </c>
      <c r="C21" s="2" t="s">
        <v>96</v>
      </c>
      <c r="D21" s="3" t="n">
        <v>6100</v>
      </c>
      <c r="E21" s="2"/>
      <c r="F21" s="4" t="n">
        <v>2025</v>
      </c>
      <c r="G21" s="5" t="s">
        <v>14</v>
      </c>
      <c r="H21" s="5" t="s">
        <v>97</v>
      </c>
      <c r="I21" s="5" t="s">
        <v>98</v>
      </c>
      <c r="J21" s="5" t="s">
        <v>23</v>
      </c>
      <c r="K21" s="6" t="s">
        <v>99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55</v>
      </c>
      <c r="D22" s="3" t="n">
        <v>4800</v>
      </c>
      <c r="E22" s="3" t="n">
        <v>2000</v>
      </c>
      <c r="F22" s="4" t="n">
        <v>2025</v>
      </c>
      <c r="G22" s="5" t="s">
        <v>14</v>
      </c>
      <c r="H22" s="5" t="s">
        <v>102</v>
      </c>
      <c r="I22" s="2" t="s">
        <v>16</v>
      </c>
      <c r="J22" s="5" t="s">
        <v>23</v>
      </c>
      <c r="K22" s="6" t="s">
        <v>103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13</v>
      </c>
      <c r="D23" s="3" t="n">
        <v>6400</v>
      </c>
      <c r="E23" s="2"/>
      <c r="F23" s="4" t="n">
        <v>2025</v>
      </c>
      <c r="G23" s="5" t="s">
        <v>14</v>
      </c>
      <c r="H23" s="5" t="s">
        <v>72</v>
      </c>
      <c r="I23" s="2" t="s">
        <v>16</v>
      </c>
      <c r="J23" s="5" t="s">
        <v>23</v>
      </c>
      <c r="K23" s="6" t="s">
        <v>106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13</v>
      </c>
      <c r="D24" s="3" t="n">
        <v>3800</v>
      </c>
      <c r="E24" s="2"/>
      <c r="F24" s="4" t="n">
        <v>2025</v>
      </c>
      <c r="G24" s="5" t="s">
        <v>14</v>
      </c>
      <c r="H24" s="2" t="s">
        <v>109</v>
      </c>
      <c r="I24" s="2" t="s">
        <v>16</v>
      </c>
      <c r="J24" s="5" t="s">
        <v>23</v>
      </c>
      <c r="K24" s="7" t="s">
        <v>110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3" t="n">
        <v>4000</v>
      </c>
      <c r="E25" s="2"/>
      <c r="F25" s="4" t="n">
        <v>2025</v>
      </c>
      <c r="G25" s="5" t="s">
        <v>14</v>
      </c>
      <c r="H25" s="5" t="s">
        <v>114</v>
      </c>
      <c r="I25" s="2" t="s">
        <v>16</v>
      </c>
      <c r="J25" s="5" t="s">
        <v>17</v>
      </c>
      <c r="K25" s="6" t="s">
        <v>115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3" t="n">
        <v>1250</v>
      </c>
      <c r="E26" s="2"/>
      <c r="F26" s="4" t="n">
        <v>2025</v>
      </c>
      <c r="G26" s="5" t="s">
        <v>14</v>
      </c>
      <c r="H26" s="5" t="s">
        <v>51</v>
      </c>
      <c r="I26" s="2" t="s">
        <v>33</v>
      </c>
      <c r="J26" s="5" t="s">
        <v>17</v>
      </c>
      <c r="K26" s="6" t="s">
        <v>119</v>
      </c>
    </row>
    <row r="27" customFormat="false" ht="15" hidden="false" customHeight="false" outlineLevel="0" collapsed="false">
      <c r="A27" s="2" t="s">
        <v>116</v>
      </c>
      <c r="B27" s="2" t="s">
        <v>120</v>
      </c>
      <c r="C27" s="2" t="s">
        <v>118</v>
      </c>
      <c r="D27" s="2"/>
      <c r="E27" s="2"/>
      <c r="F27" s="4" t="n">
        <v>2025</v>
      </c>
      <c r="G27" s="5" t="s">
        <v>14</v>
      </c>
      <c r="H27" s="5" t="s">
        <v>51</v>
      </c>
      <c r="I27" s="2" t="s">
        <v>33</v>
      </c>
      <c r="J27" s="5" t="s">
        <v>34</v>
      </c>
      <c r="K27" s="7" t="s">
        <v>121</v>
      </c>
    </row>
    <row r="28" customFormat="false" ht="15" hidden="false" customHeight="false" outlineLevel="0" collapsed="false">
      <c r="A28" s="2" t="s">
        <v>122</v>
      </c>
      <c r="B28" s="2" t="s">
        <v>123</v>
      </c>
      <c r="C28" s="2" t="s">
        <v>13</v>
      </c>
      <c r="D28" s="3" t="n">
        <v>7800</v>
      </c>
      <c r="E28" s="2"/>
      <c r="F28" s="4" t="n">
        <v>2025</v>
      </c>
      <c r="G28" s="5" t="s">
        <v>14</v>
      </c>
      <c r="H28" s="5" t="s">
        <v>124</v>
      </c>
      <c r="I28" s="2" t="s">
        <v>16</v>
      </c>
      <c r="J28" s="5" t="s">
        <v>23</v>
      </c>
      <c r="K28" s="6" t="s">
        <v>125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96</v>
      </c>
      <c r="D29" s="3" t="n">
        <v>6100</v>
      </c>
      <c r="E29" s="2"/>
      <c r="F29" s="4" t="n">
        <v>2025</v>
      </c>
      <c r="G29" s="5" t="s">
        <v>14</v>
      </c>
      <c r="H29" s="5" t="s">
        <v>97</v>
      </c>
      <c r="I29" s="5" t="s">
        <v>98</v>
      </c>
      <c r="J29" s="5" t="s">
        <v>23</v>
      </c>
      <c r="K29" s="6" t="s">
        <v>128</v>
      </c>
    </row>
    <row r="30" customFormat="false" ht="15" hidden="false" customHeight="false" outlineLevel="0" collapsed="false">
      <c r="A30" s="2" t="s">
        <v>129</v>
      </c>
      <c r="B30" s="2" t="s">
        <v>130</v>
      </c>
      <c r="C30" s="2" t="s">
        <v>131</v>
      </c>
      <c r="D30" s="3" t="n">
        <v>4410</v>
      </c>
      <c r="E30" s="2"/>
      <c r="F30" s="4" t="n">
        <v>2025</v>
      </c>
      <c r="G30" s="5" t="s">
        <v>14</v>
      </c>
      <c r="H30" s="5" t="s">
        <v>132</v>
      </c>
      <c r="I30" s="5" t="s">
        <v>133</v>
      </c>
      <c r="J30" s="5" t="s">
        <v>23</v>
      </c>
      <c r="K30" s="6" t="s">
        <v>134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50</v>
      </c>
      <c r="D31" s="3" t="n">
        <v>6400</v>
      </c>
      <c r="E31" s="2"/>
      <c r="F31" s="4" t="n">
        <v>2025</v>
      </c>
      <c r="G31" s="5" t="s">
        <v>14</v>
      </c>
      <c r="H31" s="5" t="s">
        <v>137</v>
      </c>
      <c r="I31" s="2" t="s">
        <v>16</v>
      </c>
      <c r="J31" s="5" t="s">
        <v>17</v>
      </c>
      <c r="K31" s="6" t="s">
        <v>138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118</v>
      </c>
      <c r="D32" s="2"/>
      <c r="E32" s="2"/>
      <c r="F32" s="4" t="n">
        <v>2026</v>
      </c>
      <c r="G32" s="5" t="s">
        <v>14</v>
      </c>
      <c r="H32" s="5" t="s">
        <v>51</v>
      </c>
      <c r="I32" s="2" t="s">
        <v>33</v>
      </c>
      <c r="J32" s="5" t="s">
        <v>34</v>
      </c>
      <c r="K32" s="6" t="s">
        <v>141</v>
      </c>
    </row>
    <row r="33" customFormat="false" ht="15" hidden="false" customHeight="false" outlineLevel="0" collapsed="false">
      <c r="A33" s="2" t="s">
        <v>139</v>
      </c>
      <c r="B33" s="2" t="s">
        <v>142</v>
      </c>
      <c r="C33" s="2" t="s">
        <v>118</v>
      </c>
      <c r="D33" s="2"/>
      <c r="E33" s="2"/>
      <c r="F33" s="4" t="n">
        <v>2026</v>
      </c>
      <c r="G33" s="5" t="s">
        <v>14</v>
      </c>
      <c r="H33" s="5" t="s">
        <v>51</v>
      </c>
      <c r="I33" s="2" t="s">
        <v>33</v>
      </c>
      <c r="J33" s="5" t="s">
        <v>34</v>
      </c>
      <c r="K33" s="6" t="s">
        <v>143</v>
      </c>
    </row>
    <row r="34" customFormat="false" ht="15" hidden="false" customHeight="false" outlineLevel="0" collapsed="false">
      <c r="A34" s="2" t="s">
        <v>139</v>
      </c>
      <c r="B34" s="2" t="s">
        <v>144</v>
      </c>
      <c r="C34" s="2" t="s">
        <v>118</v>
      </c>
      <c r="D34" s="2"/>
      <c r="E34" s="2"/>
      <c r="F34" s="4" t="n">
        <v>2026</v>
      </c>
      <c r="G34" s="5" t="s">
        <v>14</v>
      </c>
      <c r="H34" s="5" t="s">
        <v>51</v>
      </c>
      <c r="I34" s="2" t="s">
        <v>33</v>
      </c>
      <c r="J34" s="5" t="s">
        <v>34</v>
      </c>
      <c r="K34" s="6" t="s">
        <v>145</v>
      </c>
    </row>
    <row r="35" customFormat="false" ht="29.85" hidden="false" customHeight="false" outlineLevel="0" collapsed="false">
      <c r="A35" s="2" t="s">
        <v>139</v>
      </c>
      <c r="B35" s="2" t="s">
        <v>146</v>
      </c>
      <c r="C35" s="2" t="s">
        <v>147</v>
      </c>
      <c r="D35" s="2"/>
      <c r="E35" s="2"/>
      <c r="F35" s="4" t="n">
        <v>2026</v>
      </c>
      <c r="G35" s="5" t="s">
        <v>14</v>
      </c>
      <c r="H35" s="5" t="s">
        <v>148</v>
      </c>
      <c r="I35" s="2" t="s">
        <v>16</v>
      </c>
      <c r="J35" s="5" t="s">
        <v>34</v>
      </c>
      <c r="K35" s="7" t="s">
        <v>149</v>
      </c>
    </row>
    <row r="36" customFormat="false" ht="15" hidden="false" customHeight="false" outlineLevel="0" collapsed="false">
      <c r="A36" s="2" t="s">
        <v>150</v>
      </c>
      <c r="B36" s="2" t="s">
        <v>151</v>
      </c>
      <c r="C36" s="2" t="s">
        <v>13</v>
      </c>
      <c r="D36" s="3" t="n">
        <v>6800</v>
      </c>
      <c r="E36" s="2"/>
      <c r="F36" s="4" t="n">
        <v>2026</v>
      </c>
      <c r="G36" s="5" t="s">
        <v>14</v>
      </c>
      <c r="H36" s="5" t="s">
        <v>152</v>
      </c>
      <c r="I36" s="2" t="s">
        <v>16</v>
      </c>
      <c r="J36" s="5" t="s">
        <v>23</v>
      </c>
      <c r="K36" s="6" t="s">
        <v>153</v>
      </c>
    </row>
    <row r="37" customFormat="false" ht="15" hidden="false" customHeight="false" outlineLevel="0" collapsed="false">
      <c r="A37" s="2" t="s">
        <v>154</v>
      </c>
      <c r="B37" s="2" t="s">
        <v>155</v>
      </c>
      <c r="C37" s="2" t="s">
        <v>156</v>
      </c>
      <c r="D37" s="3" t="n">
        <v>6000</v>
      </c>
      <c r="E37" s="2"/>
      <c r="F37" s="4" t="n">
        <v>2026</v>
      </c>
      <c r="G37" s="5" t="s">
        <v>14</v>
      </c>
      <c r="H37" s="5" t="s">
        <v>137</v>
      </c>
      <c r="I37" s="2" t="s">
        <v>16</v>
      </c>
      <c r="J37" s="5" t="s">
        <v>17</v>
      </c>
      <c r="K37" s="6" t="s">
        <v>157</v>
      </c>
    </row>
    <row r="38" customFormat="false" ht="15" hidden="false" customHeight="false" outlineLevel="0" collapsed="false">
      <c r="A38" s="2" t="s">
        <v>158</v>
      </c>
      <c r="B38" s="2" t="s">
        <v>159</v>
      </c>
      <c r="C38" s="2" t="s">
        <v>156</v>
      </c>
      <c r="D38" s="3" t="n">
        <v>7000</v>
      </c>
      <c r="E38" s="2"/>
      <c r="F38" s="4" t="n">
        <v>2026</v>
      </c>
      <c r="G38" s="5" t="s">
        <v>14</v>
      </c>
      <c r="H38" s="5" t="s">
        <v>72</v>
      </c>
      <c r="I38" s="2" t="s">
        <v>16</v>
      </c>
      <c r="J38" s="5" t="s">
        <v>17</v>
      </c>
      <c r="K38" s="6" t="s">
        <v>160</v>
      </c>
    </row>
    <row r="39" customFormat="false" ht="29.85" hidden="false" customHeight="false" outlineLevel="0" collapsed="false">
      <c r="A39" s="2" t="s">
        <v>161</v>
      </c>
      <c r="B39" s="2" t="s">
        <v>162</v>
      </c>
      <c r="C39" s="2" t="s">
        <v>13</v>
      </c>
      <c r="D39" s="2"/>
      <c r="E39" s="2"/>
      <c r="F39" s="4" t="n">
        <v>2026</v>
      </c>
      <c r="G39" s="5" t="s">
        <v>14</v>
      </c>
      <c r="H39" s="5" t="s">
        <v>163</v>
      </c>
      <c r="I39" s="2" t="s">
        <v>16</v>
      </c>
      <c r="J39" s="5" t="s">
        <v>34</v>
      </c>
      <c r="K39" s="6" t="s">
        <v>164</v>
      </c>
    </row>
    <row r="40" customFormat="false" ht="15" hidden="false" customHeight="false" outlineLevel="0" collapsed="false">
      <c r="A40" s="2" t="s">
        <v>161</v>
      </c>
      <c r="B40" s="2" t="s">
        <v>165</v>
      </c>
      <c r="C40" s="2" t="s">
        <v>13</v>
      </c>
      <c r="D40" s="2"/>
      <c r="E40" s="2"/>
      <c r="F40" s="4" t="n">
        <v>2026</v>
      </c>
      <c r="G40" s="5" t="s">
        <v>14</v>
      </c>
      <c r="H40" s="5" t="s">
        <v>166</v>
      </c>
      <c r="I40" s="2" t="s">
        <v>16</v>
      </c>
      <c r="J40" s="5" t="s">
        <v>34</v>
      </c>
      <c r="K40" s="6" t="s">
        <v>167</v>
      </c>
    </row>
    <row r="41" customFormat="false" ht="15" hidden="false" customHeight="false" outlineLevel="0" collapsed="false">
      <c r="A41" s="8" t="s">
        <v>168</v>
      </c>
      <c r="B41" s="8" t="s">
        <v>169</v>
      </c>
      <c r="C41" s="8" t="s">
        <v>170</v>
      </c>
      <c r="D41" s="8"/>
      <c r="E41" s="8"/>
      <c r="F41" s="9" t="n">
        <v>2026</v>
      </c>
      <c r="G41" s="10" t="s">
        <v>171</v>
      </c>
      <c r="H41" s="8" t="s">
        <v>109</v>
      </c>
      <c r="I41" s="8" t="s">
        <v>16</v>
      </c>
      <c r="J41" s="10" t="s">
        <v>34</v>
      </c>
      <c r="K41" s="11" t="s">
        <v>172</v>
      </c>
    </row>
    <row r="42" customFormat="false" ht="15" hidden="false" customHeight="false" outlineLevel="0" collapsed="false">
      <c r="A42" s="8"/>
      <c r="B42" s="8" t="s">
        <v>173</v>
      </c>
      <c r="C42" s="8" t="s">
        <v>174</v>
      </c>
      <c r="D42" s="12" t="n">
        <v>400</v>
      </c>
      <c r="E42" s="8"/>
      <c r="F42" s="9" t="n">
        <v>2026</v>
      </c>
      <c r="G42" s="10" t="s">
        <v>171</v>
      </c>
      <c r="H42" s="10" t="s">
        <v>175</v>
      </c>
      <c r="I42" s="10" t="s">
        <v>34</v>
      </c>
      <c r="J42" s="10" t="s">
        <v>17</v>
      </c>
      <c r="K42" s="13" t="s">
        <v>176</v>
      </c>
    </row>
    <row r="43" customFormat="false" ht="15" hidden="false" customHeight="false" outlineLevel="0" collapsed="false">
      <c r="A43" s="8"/>
      <c r="B43" s="8" t="s">
        <v>177</v>
      </c>
      <c r="C43" s="8" t="s">
        <v>174</v>
      </c>
      <c r="D43" s="12" t="n">
        <v>400</v>
      </c>
      <c r="E43" s="8"/>
      <c r="F43" s="9" t="n">
        <v>2026</v>
      </c>
      <c r="G43" s="10" t="s">
        <v>171</v>
      </c>
      <c r="H43" s="10" t="s">
        <v>178</v>
      </c>
      <c r="I43" s="10" t="s">
        <v>34</v>
      </c>
      <c r="J43" s="10" t="s">
        <v>17</v>
      </c>
      <c r="K43" s="13" t="s">
        <v>176</v>
      </c>
    </row>
    <row r="44" customFormat="false" ht="15" hidden="false" customHeight="false" outlineLevel="0" collapsed="false">
      <c r="A44" s="8"/>
      <c r="B44" s="8" t="s">
        <v>179</v>
      </c>
      <c r="C44" s="8" t="s">
        <v>174</v>
      </c>
      <c r="D44" s="12" t="n">
        <v>400</v>
      </c>
      <c r="E44" s="8"/>
      <c r="F44" s="9" t="n">
        <v>2026</v>
      </c>
      <c r="G44" s="10" t="s">
        <v>171</v>
      </c>
      <c r="H44" s="10" t="s">
        <v>180</v>
      </c>
      <c r="I44" s="10" t="s">
        <v>34</v>
      </c>
      <c r="J44" s="10" t="s">
        <v>17</v>
      </c>
      <c r="K44" s="13" t="s">
        <v>176</v>
      </c>
    </row>
    <row r="45" customFormat="false" ht="15" hidden="false" customHeight="false" outlineLevel="0" collapsed="false">
      <c r="A45" s="8"/>
      <c r="B45" s="8" t="s">
        <v>181</v>
      </c>
      <c r="C45" s="8" t="s">
        <v>174</v>
      </c>
      <c r="D45" s="12" t="n">
        <v>400</v>
      </c>
      <c r="E45" s="8"/>
      <c r="F45" s="9" t="n">
        <v>2026</v>
      </c>
      <c r="G45" s="10" t="s">
        <v>171</v>
      </c>
      <c r="H45" s="10" t="s">
        <v>180</v>
      </c>
      <c r="I45" s="10" t="s">
        <v>34</v>
      </c>
      <c r="J45" s="10" t="s">
        <v>17</v>
      </c>
      <c r="K45" s="13" t="s">
        <v>176</v>
      </c>
    </row>
    <row r="46" customFormat="false" ht="15" hidden="false" customHeight="false" outlineLevel="0" collapsed="false">
      <c r="A46" s="8"/>
      <c r="B46" s="8" t="s">
        <v>182</v>
      </c>
      <c r="C46" s="8" t="s">
        <v>174</v>
      </c>
      <c r="D46" s="12" t="n">
        <v>400</v>
      </c>
      <c r="E46" s="8"/>
      <c r="F46" s="9" t="n">
        <v>2026</v>
      </c>
      <c r="G46" s="10" t="s">
        <v>171</v>
      </c>
      <c r="H46" s="10" t="s">
        <v>83</v>
      </c>
      <c r="I46" s="10" t="s">
        <v>34</v>
      </c>
      <c r="J46" s="10" t="s">
        <v>17</v>
      </c>
      <c r="K46" s="13" t="s">
        <v>176</v>
      </c>
    </row>
    <row r="47" customFormat="false" ht="15" hidden="false" customHeight="false" outlineLevel="0" collapsed="false">
      <c r="A47" s="8"/>
      <c r="B47" s="8" t="s">
        <v>183</v>
      </c>
      <c r="C47" s="8" t="s">
        <v>174</v>
      </c>
      <c r="D47" s="8"/>
      <c r="E47" s="8"/>
      <c r="F47" s="9" t="n">
        <v>2026</v>
      </c>
      <c r="G47" s="10" t="s">
        <v>171</v>
      </c>
      <c r="H47" s="10" t="s">
        <v>184</v>
      </c>
      <c r="I47" s="10" t="s">
        <v>34</v>
      </c>
      <c r="J47" s="10" t="s">
        <v>34</v>
      </c>
      <c r="K47" s="13" t="s">
        <v>185</v>
      </c>
    </row>
    <row r="48" customFormat="false" ht="15" hidden="false" customHeight="false" outlineLevel="0" collapsed="false">
      <c r="A48" s="8"/>
      <c r="B48" s="8" t="s">
        <v>186</v>
      </c>
      <c r="C48" s="8" t="s">
        <v>174</v>
      </c>
      <c r="D48" s="8"/>
      <c r="E48" s="8"/>
      <c r="F48" s="9" t="n">
        <v>2026</v>
      </c>
      <c r="G48" s="10" t="s">
        <v>171</v>
      </c>
      <c r="H48" s="10" t="s">
        <v>184</v>
      </c>
      <c r="I48" s="10" t="s">
        <v>34</v>
      </c>
      <c r="J48" s="10" t="s">
        <v>34</v>
      </c>
      <c r="K48" s="13" t="s">
        <v>185</v>
      </c>
    </row>
    <row r="49" customFormat="false" ht="15" hidden="false" customHeight="false" outlineLevel="0" collapsed="false">
      <c r="A49" s="8"/>
      <c r="B49" s="8" t="s">
        <v>187</v>
      </c>
      <c r="C49" s="8" t="s">
        <v>174</v>
      </c>
      <c r="D49" s="8"/>
      <c r="E49" s="8"/>
      <c r="F49" s="9" t="n">
        <v>2026</v>
      </c>
      <c r="G49" s="10" t="s">
        <v>171</v>
      </c>
      <c r="H49" s="10" t="s">
        <v>184</v>
      </c>
      <c r="I49" s="10" t="s">
        <v>34</v>
      </c>
      <c r="J49" s="10" t="s">
        <v>34</v>
      </c>
      <c r="K49" s="13" t="s">
        <v>185</v>
      </c>
    </row>
    <row r="50" customFormat="false" ht="15" hidden="false" customHeight="false" outlineLevel="0" collapsed="false">
      <c r="A50" s="8"/>
      <c r="B50" s="8" t="s">
        <v>188</v>
      </c>
      <c r="C50" s="8" t="s">
        <v>174</v>
      </c>
      <c r="D50" s="8"/>
      <c r="E50" s="8"/>
      <c r="F50" s="9" t="n">
        <v>2026</v>
      </c>
      <c r="G50" s="10" t="s">
        <v>171</v>
      </c>
      <c r="H50" s="10" t="s">
        <v>189</v>
      </c>
      <c r="I50" s="10" t="s">
        <v>34</v>
      </c>
      <c r="J50" s="10" t="s">
        <v>34</v>
      </c>
      <c r="K50" s="13" t="s">
        <v>190</v>
      </c>
    </row>
    <row r="51" customFormat="false" ht="15" hidden="false" customHeight="false" outlineLevel="0" collapsed="false">
      <c r="A51" s="8"/>
      <c r="B51" s="8" t="s">
        <v>191</v>
      </c>
      <c r="C51" s="8" t="s">
        <v>174</v>
      </c>
      <c r="D51" s="8"/>
      <c r="E51" s="8"/>
      <c r="F51" s="9" t="n">
        <v>2026</v>
      </c>
      <c r="G51" s="10" t="s">
        <v>171</v>
      </c>
      <c r="H51" s="10" t="s">
        <v>27</v>
      </c>
      <c r="I51" s="10" t="s">
        <v>34</v>
      </c>
      <c r="J51" s="10" t="s">
        <v>34</v>
      </c>
      <c r="K51" s="13" t="s">
        <v>190</v>
      </c>
    </row>
    <row r="52" customFormat="false" ht="15" hidden="false" customHeight="false" outlineLevel="0" collapsed="false">
      <c r="A52" s="8"/>
      <c r="B52" s="8" t="s">
        <v>192</v>
      </c>
      <c r="C52" s="8" t="s">
        <v>174</v>
      </c>
      <c r="D52" s="12" t="n">
        <v>3000</v>
      </c>
      <c r="E52" s="8"/>
      <c r="F52" s="9" t="n">
        <v>2026</v>
      </c>
      <c r="G52" s="10" t="s">
        <v>171</v>
      </c>
      <c r="H52" s="10" t="s">
        <v>64</v>
      </c>
      <c r="I52" s="10" t="s">
        <v>34</v>
      </c>
      <c r="J52" s="10" t="s">
        <v>17</v>
      </c>
      <c r="K52" s="13" t="s">
        <v>193</v>
      </c>
    </row>
    <row r="53" customFormat="false" ht="15" hidden="false" customHeight="false" outlineLevel="0" collapsed="false">
      <c r="A53" s="8"/>
      <c r="B53" s="8" t="s">
        <v>194</v>
      </c>
      <c r="C53" s="8" t="s">
        <v>174</v>
      </c>
      <c r="D53" s="8"/>
      <c r="E53" s="8"/>
      <c r="F53" s="9" t="n">
        <v>2026</v>
      </c>
      <c r="G53" s="10" t="s">
        <v>171</v>
      </c>
      <c r="H53" s="10" t="s">
        <v>51</v>
      </c>
      <c r="I53" s="10" t="s">
        <v>34</v>
      </c>
      <c r="J53" s="10" t="s">
        <v>34</v>
      </c>
      <c r="K53" s="13" t="s">
        <v>195</v>
      </c>
    </row>
    <row r="54" customFormat="false" ht="15" hidden="false" customHeight="false" outlineLevel="0" collapsed="false">
      <c r="A54" s="8"/>
      <c r="B54" s="8" t="s">
        <v>196</v>
      </c>
      <c r="C54" s="8" t="s">
        <v>174</v>
      </c>
      <c r="D54" s="8"/>
      <c r="E54" s="8"/>
      <c r="F54" s="9" t="n">
        <v>2026</v>
      </c>
      <c r="G54" s="10" t="s">
        <v>171</v>
      </c>
      <c r="H54" s="10" t="s">
        <v>197</v>
      </c>
      <c r="I54" s="10" t="s">
        <v>34</v>
      </c>
      <c r="J54" s="10" t="s">
        <v>34</v>
      </c>
      <c r="K54" s="13" t="s">
        <v>198</v>
      </c>
    </row>
    <row r="55" customFormat="false" ht="15" hidden="false" customHeight="false" outlineLevel="0" collapsed="false">
      <c r="A55" s="8"/>
      <c r="B55" s="8" t="s">
        <v>199</v>
      </c>
      <c r="C55" s="8" t="s">
        <v>174</v>
      </c>
      <c r="D55" s="8"/>
      <c r="E55" s="8"/>
      <c r="F55" s="9" t="n">
        <v>2027</v>
      </c>
      <c r="G55" s="10" t="s">
        <v>171</v>
      </c>
      <c r="H55" s="10" t="s">
        <v>200</v>
      </c>
      <c r="I55" s="10" t="s">
        <v>34</v>
      </c>
      <c r="J55" s="10" t="s">
        <v>34</v>
      </c>
      <c r="K55" s="13" t="s">
        <v>190</v>
      </c>
    </row>
    <row r="56" customFormat="false" ht="15" hidden="false" customHeight="false" outlineLevel="0" collapsed="false">
      <c r="A56" s="8"/>
      <c r="B56" s="8" t="s">
        <v>201</v>
      </c>
      <c r="C56" s="8" t="s">
        <v>174</v>
      </c>
      <c r="D56" s="8"/>
      <c r="E56" s="8"/>
      <c r="F56" s="9" t="n">
        <v>2027</v>
      </c>
      <c r="G56" s="10" t="s">
        <v>171</v>
      </c>
      <c r="H56" s="10" t="s">
        <v>200</v>
      </c>
      <c r="I56" s="10" t="s">
        <v>34</v>
      </c>
      <c r="J56" s="10" t="s">
        <v>34</v>
      </c>
      <c r="K56" s="13" t="s">
        <v>202</v>
      </c>
    </row>
    <row r="57" customFormat="false" ht="15" hidden="false" customHeight="false" outlineLevel="0" collapsed="false">
      <c r="A57" s="8"/>
      <c r="B57" s="8" t="s">
        <v>203</v>
      </c>
      <c r="C57" s="8" t="s">
        <v>174</v>
      </c>
      <c r="D57" s="12" t="n">
        <v>4000</v>
      </c>
      <c r="E57" s="8"/>
      <c r="F57" s="9" t="n">
        <v>2027</v>
      </c>
      <c r="G57" s="10" t="s">
        <v>171</v>
      </c>
      <c r="H57" s="10" t="s">
        <v>204</v>
      </c>
      <c r="I57" s="10" t="s">
        <v>34</v>
      </c>
      <c r="J57" s="10" t="s">
        <v>17</v>
      </c>
      <c r="K57" s="13" t="s">
        <v>202</v>
      </c>
    </row>
    <row r="58" customFormat="false" ht="15" hidden="false" customHeight="false" outlineLevel="0" collapsed="false">
      <c r="A58" s="8"/>
      <c r="B58" s="8" t="s">
        <v>205</v>
      </c>
      <c r="C58" s="8" t="s">
        <v>174</v>
      </c>
      <c r="D58" s="8"/>
      <c r="E58" s="8"/>
      <c r="F58" s="9" t="n">
        <v>2027</v>
      </c>
      <c r="G58" s="10" t="s">
        <v>171</v>
      </c>
      <c r="H58" s="10" t="s">
        <v>206</v>
      </c>
      <c r="I58" s="10" t="s">
        <v>34</v>
      </c>
      <c r="J58" s="10" t="s">
        <v>34</v>
      </c>
      <c r="K58" s="13" t="s">
        <v>193</v>
      </c>
    </row>
    <row r="59" customFormat="false" ht="15" hidden="false" customHeight="false" outlineLevel="0" collapsed="false">
      <c r="A59" s="8"/>
      <c r="B59" s="8" t="s">
        <v>207</v>
      </c>
      <c r="C59" s="8" t="s">
        <v>174</v>
      </c>
      <c r="D59" s="8"/>
      <c r="E59" s="8"/>
      <c r="F59" s="9" t="n">
        <v>2027</v>
      </c>
      <c r="G59" s="10" t="s">
        <v>171</v>
      </c>
      <c r="H59" s="8" t="s">
        <v>208</v>
      </c>
      <c r="I59" s="10" t="s">
        <v>34</v>
      </c>
      <c r="J59" s="10" t="s">
        <v>34</v>
      </c>
      <c r="K59" s="13" t="s">
        <v>209</v>
      </c>
    </row>
    <row r="60" customFormat="false" ht="15" hidden="false" customHeight="false" outlineLevel="0" collapsed="false">
      <c r="A60" s="8"/>
      <c r="B60" s="8" t="s">
        <v>210</v>
      </c>
      <c r="C60" s="8" t="s">
        <v>174</v>
      </c>
      <c r="D60" s="8"/>
      <c r="E60" s="8"/>
      <c r="F60" s="9" t="n">
        <v>2027</v>
      </c>
      <c r="G60" s="10" t="s">
        <v>171</v>
      </c>
      <c r="H60" s="10" t="s">
        <v>178</v>
      </c>
      <c r="I60" s="10" t="s">
        <v>34</v>
      </c>
      <c r="J60" s="10" t="s">
        <v>34</v>
      </c>
      <c r="K60" s="13" t="s">
        <v>193</v>
      </c>
    </row>
    <row r="61" customFormat="false" ht="15" hidden="false" customHeight="false" outlineLevel="0" collapsed="false">
      <c r="A61" s="8"/>
      <c r="B61" s="8" t="s">
        <v>211</v>
      </c>
      <c r="C61" s="8" t="s">
        <v>174</v>
      </c>
      <c r="D61" s="8"/>
      <c r="E61" s="8"/>
      <c r="F61" s="9" t="n">
        <v>2027</v>
      </c>
      <c r="G61" s="10" t="s">
        <v>171</v>
      </c>
      <c r="H61" s="10" t="s">
        <v>212</v>
      </c>
      <c r="I61" s="10" t="s">
        <v>34</v>
      </c>
      <c r="J61" s="10" t="s">
        <v>34</v>
      </c>
      <c r="K61" s="13" t="s">
        <v>193</v>
      </c>
    </row>
    <row r="62" customFormat="false" ht="15" hidden="false" customHeight="false" outlineLevel="0" collapsed="false">
      <c r="A62" s="8"/>
      <c r="B62" s="8" t="s">
        <v>213</v>
      </c>
      <c r="C62" s="8" t="s">
        <v>174</v>
      </c>
      <c r="D62" s="8"/>
      <c r="E62" s="8"/>
      <c r="F62" s="9" t="n">
        <v>2027</v>
      </c>
      <c r="G62" s="10" t="s">
        <v>171</v>
      </c>
      <c r="H62" s="10" t="s">
        <v>212</v>
      </c>
      <c r="I62" s="10" t="s">
        <v>34</v>
      </c>
      <c r="J62" s="10" t="s">
        <v>34</v>
      </c>
      <c r="K62" s="13" t="s">
        <v>193</v>
      </c>
    </row>
    <row r="63" customFormat="false" ht="15" hidden="false" customHeight="false" outlineLevel="0" collapsed="false">
      <c r="A63" s="8"/>
      <c r="B63" s="8" t="s">
        <v>214</v>
      </c>
      <c r="C63" s="8" t="s">
        <v>174</v>
      </c>
      <c r="D63" s="8"/>
      <c r="E63" s="8"/>
      <c r="F63" s="9" t="n">
        <v>2027</v>
      </c>
      <c r="G63" s="10" t="s">
        <v>171</v>
      </c>
      <c r="H63" s="10" t="s">
        <v>212</v>
      </c>
      <c r="I63" s="10" t="s">
        <v>34</v>
      </c>
      <c r="J63" s="10" t="s">
        <v>34</v>
      </c>
      <c r="K63" s="13" t="s">
        <v>185</v>
      </c>
    </row>
    <row r="64" customFormat="false" ht="15" hidden="false" customHeight="false" outlineLevel="0" collapsed="false">
      <c r="A64" s="8"/>
      <c r="B64" s="8" t="s">
        <v>215</v>
      </c>
      <c r="C64" s="8" t="s">
        <v>174</v>
      </c>
      <c r="D64" s="8"/>
      <c r="E64" s="8"/>
      <c r="F64" s="9" t="n">
        <v>2027</v>
      </c>
      <c r="G64" s="10" t="s">
        <v>171</v>
      </c>
      <c r="H64" s="10" t="s">
        <v>38</v>
      </c>
      <c r="I64" s="10" t="s">
        <v>34</v>
      </c>
      <c r="J64" s="10" t="s">
        <v>34</v>
      </c>
      <c r="K64" s="13" t="s">
        <v>190</v>
      </c>
    </row>
    <row r="65" customFormat="false" ht="15" hidden="false" customHeight="false" outlineLevel="0" collapsed="false">
      <c r="A65" s="8"/>
      <c r="B65" s="8" t="s">
        <v>216</v>
      </c>
      <c r="C65" s="8" t="s">
        <v>174</v>
      </c>
      <c r="D65" s="12" t="n">
        <v>7000</v>
      </c>
      <c r="E65" s="8"/>
      <c r="F65" s="9" t="n">
        <v>2027</v>
      </c>
      <c r="G65" s="10" t="s">
        <v>171</v>
      </c>
      <c r="H65" s="10" t="s">
        <v>72</v>
      </c>
      <c r="I65" s="10" t="s">
        <v>34</v>
      </c>
      <c r="J65" s="10" t="s">
        <v>17</v>
      </c>
      <c r="K65" s="13" t="s">
        <v>217</v>
      </c>
    </row>
    <row r="66" customFormat="false" ht="15" hidden="false" customHeight="false" outlineLevel="0" collapsed="false">
      <c r="A66" s="8"/>
      <c r="B66" s="8" t="s">
        <v>218</v>
      </c>
      <c r="C66" s="8" t="s">
        <v>174</v>
      </c>
      <c r="D66" s="8"/>
      <c r="E66" s="8"/>
      <c r="F66" s="9" t="n">
        <v>2027</v>
      </c>
      <c r="G66" s="10" t="s">
        <v>171</v>
      </c>
      <c r="H66" s="10" t="s">
        <v>200</v>
      </c>
      <c r="I66" s="10" t="s">
        <v>34</v>
      </c>
      <c r="J66" s="10" t="s">
        <v>34</v>
      </c>
      <c r="K66" s="13" t="s">
        <v>193</v>
      </c>
    </row>
    <row r="67" customFormat="false" ht="15" hidden="false" customHeight="false" outlineLevel="0" collapsed="false">
      <c r="A67" s="8"/>
      <c r="B67" s="8" t="s">
        <v>219</v>
      </c>
      <c r="C67" s="8" t="s">
        <v>174</v>
      </c>
      <c r="D67" s="8"/>
      <c r="E67" s="8"/>
      <c r="F67" s="9" t="n">
        <v>2027</v>
      </c>
      <c r="G67" s="10" t="s">
        <v>171</v>
      </c>
      <c r="H67" s="10" t="s">
        <v>220</v>
      </c>
      <c r="I67" s="10" t="s">
        <v>34</v>
      </c>
      <c r="J67" s="10" t="s">
        <v>34</v>
      </c>
      <c r="K67" s="13" t="s">
        <v>209</v>
      </c>
    </row>
    <row r="68" customFormat="false" ht="15" hidden="false" customHeight="false" outlineLevel="0" collapsed="false">
      <c r="A68" s="8"/>
      <c r="B68" s="8" t="s">
        <v>221</v>
      </c>
      <c r="C68" s="8" t="s">
        <v>174</v>
      </c>
      <c r="D68" s="8"/>
      <c r="E68" s="8"/>
      <c r="F68" s="9" t="n">
        <v>2028</v>
      </c>
      <c r="G68" s="10" t="s">
        <v>171</v>
      </c>
      <c r="H68" s="8" t="s">
        <v>208</v>
      </c>
      <c r="I68" s="10" t="s">
        <v>34</v>
      </c>
      <c r="J68" s="10" t="s">
        <v>34</v>
      </c>
      <c r="K68" s="13" t="s">
        <v>209</v>
      </c>
    </row>
    <row r="69" customFormat="false" ht="15" hidden="false" customHeight="false" outlineLevel="0" collapsed="false">
      <c r="A69" s="8"/>
      <c r="B69" s="8" t="s">
        <v>222</v>
      </c>
      <c r="C69" s="8" t="s">
        <v>174</v>
      </c>
      <c r="D69" s="12" t="n">
        <v>6000</v>
      </c>
      <c r="E69" s="8"/>
      <c r="F69" s="9" t="n">
        <v>2029</v>
      </c>
      <c r="G69" s="10" t="s">
        <v>171</v>
      </c>
      <c r="H69" s="10" t="s">
        <v>223</v>
      </c>
      <c r="I69" s="10" t="s">
        <v>34</v>
      </c>
      <c r="J69" s="10" t="s">
        <v>17</v>
      </c>
      <c r="K69" s="13" t="s">
        <v>209</v>
      </c>
    </row>
    <row r="70" customFormat="false" ht="15" hidden="false" customHeight="false" outlineLevel="0" collapsed="false">
      <c r="A70" s="8"/>
      <c r="B70" s="8" t="s">
        <v>224</v>
      </c>
      <c r="C70" s="8" t="s">
        <v>174</v>
      </c>
      <c r="D70" s="12" t="n">
        <v>6000</v>
      </c>
      <c r="E70" s="8"/>
      <c r="F70" s="9" t="n">
        <v>2029</v>
      </c>
      <c r="G70" s="10" t="s">
        <v>171</v>
      </c>
      <c r="H70" s="10" t="s">
        <v>223</v>
      </c>
      <c r="I70" s="10" t="s">
        <v>34</v>
      </c>
      <c r="J70" s="10" t="s">
        <v>17</v>
      </c>
      <c r="K70" s="13" t="s">
        <v>209</v>
      </c>
    </row>
    <row r="71" customFormat="false" ht="15" hidden="false" customHeight="false" outlineLevel="0" collapsed="false">
      <c r="A71" s="8"/>
      <c r="B71" s="8" t="s">
        <v>225</v>
      </c>
      <c r="C71" s="8" t="s">
        <v>174</v>
      </c>
      <c r="D71" s="8"/>
      <c r="E71" s="8"/>
      <c r="F71" s="9" t="n">
        <v>2030</v>
      </c>
      <c r="G71" s="10" t="s">
        <v>171</v>
      </c>
      <c r="H71" s="10" t="s">
        <v>226</v>
      </c>
      <c r="I71" s="10" t="s">
        <v>34</v>
      </c>
      <c r="J71" s="10" t="s">
        <v>34</v>
      </c>
      <c r="K71" s="13" t="s">
        <v>227</v>
      </c>
    </row>
    <row r="72" customFormat="false" ht="15" hidden="false" customHeight="false" outlineLevel="0" collapsed="false">
      <c r="A72" s="8"/>
      <c r="B72" s="8" t="s">
        <v>228</v>
      </c>
      <c r="C72" s="8" t="s">
        <v>174</v>
      </c>
      <c r="D72" s="12" t="n">
        <v>6100</v>
      </c>
      <c r="E72" s="8"/>
      <c r="F72" s="9" t="n">
        <v>2030</v>
      </c>
      <c r="G72" s="10" t="s">
        <v>171</v>
      </c>
      <c r="H72" s="10" t="s">
        <v>97</v>
      </c>
      <c r="I72" s="10" t="s">
        <v>34</v>
      </c>
      <c r="J72" s="10" t="s">
        <v>17</v>
      </c>
      <c r="K72" s="13" t="s">
        <v>209</v>
      </c>
    </row>
    <row r="73" customFormat="false" ht="15" hidden="false" customHeight="false" outlineLevel="0" collapsed="false">
      <c r="A73" s="8"/>
      <c r="B73" s="8" t="s">
        <v>229</v>
      </c>
      <c r="C73" s="8" t="s">
        <v>174</v>
      </c>
      <c r="D73" s="8"/>
      <c r="E73" s="8"/>
      <c r="F73" s="9" t="n">
        <v>2031</v>
      </c>
      <c r="G73" s="10" t="s">
        <v>171</v>
      </c>
      <c r="H73" s="10" t="s">
        <v>51</v>
      </c>
      <c r="I73" s="10" t="s">
        <v>34</v>
      </c>
      <c r="J73" s="10" t="s">
        <v>34</v>
      </c>
      <c r="K73" s="13" t="s">
        <v>230</v>
      </c>
    </row>
    <row r="74" customFormat="false" ht="15" hidden="false" customHeight="false" outlineLevel="0" collapsed="false">
      <c r="A74" s="8"/>
      <c r="B74" s="8" t="s">
        <v>231</v>
      </c>
      <c r="C74" s="8" t="s">
        <v>174</v>
      </c>
      <c r="D74" s="8"/>
      <c r="E74" s="8"/>
      <c r="F74" s="9" t="n">
        <v>2032</v>
      </c>
      <c r="G74" s="10" t="s">
        <v>171</v>
      </c>
      <c r="H74" s="10" t="s">
        <v>51</v>
      </c>
      <c r="I74" s="10" t="s">
        <v>34</v>
      </c>
      <c r="J74" s="10" t="s">
        <v>34</v>
      </c>
      <c r="K74" s="13" t="s">
        <v>230</v>
      </c>
    </row>
    <row r="75" customFormat="false" ht="29.85" hidden="false" customHeight="false" outlineLevel="0" collapsed="false">
      <c r="A75" s="8"/>
      <c r="B75" s="8" t="s">
        <v>232</v>
      </c>
      <c r="C75" s="8" t="s">
        <v>174</v>
      </c>
      <c r="D75" s="8"/>
      <c r="E75" s="8"/>
      <c r="F75" s="9" t="n">
        <v>9999</v>
      </c>
      <c r="G75" s="10" t="s">
        <v>171</v>
      </c>
      <c r="H75" s="10" t="s">
        <v>184</v>
      </c>
      <c r="I75" s="10" t="s">
        <v>34</v>
      </c>
      <c r="J75" s="10" t="s">
        <v>34</v>
      </c>
      <c r="K75" s="13" t="s">
        <v>233</v>
      </c>
    </row>
    <row r="76" customFormat="false" ht="26.85" hidden="false" customHeight="false" outlineLevel="0" collapsed="false">
      <c r="A76" s="8"/>
      <c r="B76" s="8" t="s">
        <v>234</v>
      </c>
      <c r="C76" s="8" t="s">
        <v>174</v>
      </c>
      <c r="D76" s="8"/>
      <c r="E76" s="8"/>
      <c r="F76" s="9" t="n">
        <v>9999</v>
      </c>
      <c r="G76" s="10" t="s">
        <v>171</v>
      </c>
      <c r="H76" s="10" t="s">
        <v>152</v>
      </c>
      <c r="I76" s="10" t="s">
        <v>34</v>
      </c>
      <c r="J76" s="10" t="s">
        <v>34</v>
      </c>
      <c r="K76" s="13" t="s">
        <v>235</v>
      </c>
    </row>
    <row r="77" customFormat="false" ht="29.85" hidden="false" customHeight="false" outlineLevel="0" collapsed="false">
      <c r="A77" s="8"/>
      <c r="B77" s="8" t="s">
        <v>236</v>
      </c>
      <c r="C77" s="8" t="s">
        <v>174</v>
      </c>
      <c r="D77" s="8"/>
      <c r="E77" s="8"/>
      <c r="F77" s="9" t="n">
        <v>9999</v>
      </c>
      <c r="G77" s="10" t="s">
        <v>171</v>
      </c>
      <c r="H77" s="8" t="s">
        <v>237</v>
      </c>
      <c r="I77" s="10" t="s">
        <v>34</v>
      </c>
      <c r="J77" s="10" t="s">
        <v>34</v>
      </c>
      <c r="K77" s="13" t="s">
        <v>233</v>
      </c>
    </row>
    <row r="78" customFormat="false" ht="26.85" hidden="false" customHeight="false" outlineLevel="0" collapsed="false">
      <c r="A78" s="8"/>
      <c r="B78" s="10" t="s">
        <v>238</v>
      </c>
      <c r="C78" s="8" t="s">
        <v>174</v>
      </c>
      <c r="D78" s="8"/>
      <c r="E78" s="8"/>
      <c r="F78" s="9" t="n">
        <v>9999</v>
      </c>
      <c r="G78" s="10" t="s">
        <v>171</v>
      </c>
      <c r="H78" s="10" t="s">
        <v>239</v>
      </c>
      <c r="I78" s="10" t="s">
        <v>34</v>
      </c>
      <c r="J78" s="10" t="s">
        <v>34</v>
      </c>
      <c r="K78" s="13" t="s">
        <v>235</v>
      </c>
    </row>
    <row r="79" customFormat="false" ht="29.85" hidden="false" customHeight="false" outlineLevel="0" collapsed="false">
      <c r="A79" s="8"/>
      <c r="B79" s="8" t="s">
        <v>240</v>
      </c>
      <c r="C79" s="8" t="s">
        <v>174</v>
      </c>
      <c r="D79" s="8"/>
      <c r="E79" s="8"/>
      <c r="F79" s="9" t="n">
        <v>9999</v>
      </c>
      <c r="G79" s="10" t="s">
        <v>171</v>
      </c>
      <c r="H79" s="10" t="s">
        <v>51</v>
      </c>
      <c r="I79" s="10" t="s">
        <v>34</v>
      </c>
      <c r="J79" s="10" t="s">
        <v>34</v>
      </c>
      <c r="K79" s="13" t="s">
        <v>241</v>
      </c>
    </row>
    <row r="80" customFormat="false" ht="29.85" hidden="false" customHeight="false" outlineLevel="0" collapsed="false">
      <c r="A80" s="8"/>
      <c r="B80" s="8" t="s">
        <v>242</v>
      </c>
      <c r="C80" s="8" t="s">
        <v>174</v>
      </c>
      <c r="D80" s="12" t="n">
        <v>400</v>
      </c>
      <c r="E80" s="8"/>
      <c r="F80" s="9" t="n">
        <v>9999</v>
      </c>
      <c r="G80" s="10" t="s">
        <v>171</v>
      </c>
      <c r="H80" s="10" t="s">
        <v>243</v>
      </c>
      <c r="I80" s="10" t="s">
        <v>34</v>
      </c>
      <c r="J80" s="10" t="s">
        <v>17</v>
      </c>
      <c r="K80" s="13" t="s">
        <v>244</v>
      </c>
    </row>
    <row r="81" customFormat="false" ht="29.85" hidden="false" customHeight="false" outlineLevel="0" collapsed="false">
      <c r="A81" s="8"/>
      <c r="B81" s="8" t="s">
        <v>245</v>
      </c>
      <c r="C81" s="8" t="s">
        <v>174</v>
      </c>
      <c r="D81" s="8"/>
      <c r="E81" s="8"/>
      <c r="F81" s="9" t="n">
        <v>9999</v>
      </c>
      <c r="G81" s="10" t="s">
        <v>171</v>
      </c>
      <c r="H81" s="10" t="s">
        <v>38</v>
      </c>
      <c r="I81" s="10" t="s">
        <v>34</v>
      </c>
      <c r="J81" s="10" t="s">
        <v>34</v>
      </c>
      <c r="K81" s="13" t="s">
        <v>246</v>
      </c>
    </row>
    <row r="82" customFormat="false" ht="29.85" hidden="false" customHeight="false" outlineLevel="0" collapsed="false">
      <c r="A82" s="8"/>
      <c r="B82" s="8" t="s">
        <v>247</v>
      </c>
      <c r="C82" s="8" t="s">
        <v>174</v>
      </c>
      <c r="D82" s="8"/>
      <c r="E82" s="8"/>
      <c r="F82" s="9" t="n">
        <v>9999</v>
      </c>
      <c r="G82" s="10" t="s">
        <v>171</v>
      </c>
      <c r="H82" s="10" t="s">
        <v>248</v>
      </c>
      <c r="I82" s="10" t="s">
        <v>34</v>
      </c>
      <c r="J82" s="10" t="s">
        <v>34</v>
      </c>
      <c r="K82" s="13" t="s">
        <v>249</v>
      </c>
    </row>
    <row r="83" customFormat="false" ht="29.85" hidden="false" customHeight="false" outlineLevel="0" collapsed="false">
      <c r="A83" s="8"/>
      <c r="B83" s="8" t="s">
        <v>250</v>
      </c>
      <c r="C83" s="8" t="s">
        <v>174</v>
      </c>
      <c r="D83" s="8"/>
      <c r="E83" s="8"/>
      <c r="F83" s="9" t="n">
        <v>9999</v>
      </c>
      <c r="G83" s="10" t="s">
        <v>171</v>
      </c>
      <c r="H83" s="10" t="s">
        <v>248</v>
      </c>
      <c r="I83" s="10" t="s">
        <v>34</v>
      </c>
      <c r="J83" s="10" t="s">
        <v>34</v>
      </c>
      <c r="K83" s="13" t="s">
        <v>249</v>
      </c>
    </row>
    <row r="84" customFormat="false" ht="29.85" hidden="false" customHeight="false" outlineLevel="0" collapsed="false">
      <c r="A84" s="8"/>
      <c r="B84" s="8" t="s">
        <v>251</v>
      </c>
      <c r="C84" s="8" t="s">
        <v>174</v>
      </c>
      <c r="D84" s="8"/>
      <c r="E84" s="8"/>
      <c r="F84" s="9" t="n">
        <v>9999</v>
      </c>
      <c r="G84" s="10" t="s">
        <v>171</v>
      </c>
      <c r="H84" s="10" t="s">
        <v>38</v>
      </c>
      <c r="I84" s="10" t="s">
        <v>34</v>
      </c>
      <c r="J84" s="10" t="s">
        <v>34</v>
      </c>
      <c r="K84" s="13" t="s">
        <v>252</v>
      </c>
    </row>
    <row r="85" customFormat="false" ht="26.85" hidden="false" customHeight="false" outlineLevel="0" collapsed="false">
      <c r="A85" s="8"/>
      <c r="B85" s="8" t="s">
        <v>253</v>
      </c>
      <c r="C85" s="8" t="s">
        <v>174</v>
      </c>
      <c r="D85" s="12" t="n">
        <v>3000</v>
      </c>
      <c r="E85" s="8"/>
      <c r="F85" s="9" t="n">
        <v>9999</v>
      </c>
      <c r="G85" s="10" t="s">
        <v>171</v>
      </c>
      <c r="H85" s="10" t="s">
        <v>184</v>
      </c>
      <c r="I85" s="10" t="s">
        <v>34</v>
      </c>
      <c r="J85" s="10" t="s">
        <v>17</v>
      </c>
      <c r="K85" s="13" t="s">
        <v>254</v>
      </c>
    </row>
    <row r="86" customFormat="false" ht="26.85" hidden="false" customHeight="false" outlineLevel="0" collapsed="false">
      <c r="A86" s="8"/>
      <c r="B86" s="8" t="s">
        <v>255</v>
      </c>
      <c r="C86" s="8" t="s">
        <v>174</v>
      </c>
      <c r="D86" s="12" t="n">
        <v>3000</v>
      </c>
      <c r="E86" s="8"/>
      <c r="F86" s="9" t="n">
        <v>9999</v>
      </c>
      <c r="G86" s="10" t="s">
        <v>171</v>
      </c>
      <c r="H86" s="10" t="s">
        <v>184</v>
      </c>
      <c r="I86" s="10" t="s">
        <v>34</v>
      </c>
      <c r="J86" s="10" t="s">
        <v>17</v>
      </c>
      <c r="K86" s="13" t="s">
        <v>254</v>
      </c>
    </row>
    <row r="87" customFormat="false" ht="29.85" hidden="false" customHeight="false" outlineLevel="0" collapsed="false">
      <c r="A87" s="8"/>
      <c r="B87" s="8" t="s">
        <v>256</v>
      </c>
      <c r="C87" s="8" t="s">
        <v>174</v>
      </c>
      <c r="D87" s="12" t="n">
        <v>6000</v>
      </c>
      <c r="E87" s="8"/>
      <c r="F87" s="9" t="n">
        <v>9999</v>
      </c>
      <c r="G87" s="10" t="s">
        <v>171</v>
      </c>
      <c r="H87" s="10" t="s">
        <v>257</v>
      </c>
      <c r="I87" s="10" t="s">
        <v>34</v>
      </c>
      <c r="J87" s="10" t="s">
        <v>17</v>
      </c>
      <c r="K87" s="13" t="s">
        <v>258</v>
      </c>
    </row>
  </sheetData>
  <autoFilter ref="A1:K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19.4" hidden="false" customHeight="false" outlineLevel="0" collapsed="false">
      <c r="A1" s="14" t="s">
        <v>259</v>
      </c>
    </row>
    <row r="2" customFormat="false" ht="15" hidden="false" customHeight="false" outlineLevel="0" collapsed="false">
      <c r="A2" s="15" t="s">
        <v>260</v>
      </c>
    </row>
    <row r="4" customFormat="false" ht="15" hidden="false" customHeight="false" outlineLevel="0" collapsed="false">
      <c r="A4" s="1" t="s">
        <v>5</v>
      </c>
      <c r="B4" s="1" t="s">
        <v>261</v>
      </c>
      <c r="C4" s="1" t="s">
        <v>262</v>
      </c>
      <c r="D4" s="1" t="s">
        <v>263</v>
      </c>
      <c r="E4" s="1" t="s">
        <v>264</v>
      </c>
      <c r="F4" s="1" t="s">
        <v>265</v>
      </c>
      <c r="G4" s="1" t="s">
        <v>266</v>
      </c>
    </row>
    <row r="5" customFormat="false" ht="15" hidden="false" customHeight="false" outlineLevel="0" collapsed="false">
      <c r="A5" s="16" t="n">
        <v>2024</v>
      </c>
      <c r="B5" s="16" t="n">
        <f aca="false">COUNTIFS(발사데이터!$F$2:$F$87,$A5,발사데이터!$G$2:$G$87,"발사완료")</f>
        <v>17</v>
      </c>
      <c r="C5" s="16" t="n">
        <f aca="false">COUNTIFS(발사데이터!$F$2:$F$87,$A5,발사데이터!$G$2:$G$87,"발사예정")</f>
        <v>0</v>
      </c>
      <c r="D5" s="16" t="n">
        <f aca="false">B5+C5</f>
        <v>17</v>
      </c>
      <c r="E5" s="17" t="n">
        <f aca="false">SUMIFS(발사데이터!$D$2:$D$87,발사데이터!$F$2:$F$87,$A5)</f>
        <v>40016</v>
      </c>
      <c r="F5" s="16" t="n">
        <f aca="false">COUNTIFS(발사데이터!$F$2:$F$87,$A5,발사데이터!$J$2:$J$87,"미상")</f>
        <v>4</v>
      </c>
      <c r="G5" s="17" t="n">
        <f aca="false">IFERROR(E5/(D5-F5),0)</f>
        <v>3078.15384615385</v>
      </c>
    </row>
    <row r="6" customFormat="false" ht="15" hidden="false" customHeight="false" outlineLevel="0" collapsed="false">
      <c r="A6" s="16" t="n">
        <v>2025</v>
      </c>
      <c r="B6" s="16" t="n">
        <f aca="false">COUNTIFS(발사데이터!$F$2:$F$87,$A6,발사데이터!$G$2:$G$87,"발사완료")</f>
        <v>13</v>
      </c>
      <c r="C6" s="16" t="n">
        <f aca="false">COUNTIFS(발사데이터!$F$2:$F$87,$A6,발사데이터!$G$2:$G$87,"발사예정")</f>
        <v>0</v>
      </c>
      <c r="D6" s="16" t="n">
        <f aca="false">B6+C6</f>
        <v>13</v>
      </c>
      <c r="E6" s="17" t="n">
        <f aca="false">SUMIFS(발사데이터!$D$2:$D$87,발사데이터!$F$2:$F$87,$A6)</f>
        <v>58310</v>
      </c>
      <c r="F6" s="16" t="n">
        <f aca="false">COUNTIFS(발사데이터!$F$2:$F$87,$A6,발사데이터!$J$2:$J$87,"미상")</f>
        <v>1</v>
      </c>
      <c r="G6" s="17" t="n">
        <f aca="false">IFERROR(E6/(D6-F6),0)</f>
        <v>4859.16666666667</v>
      </c>
    </row>
    <row r="7" customFormat="false" ht="15" hidden="false" customHeight="false" outlineLevel="0" collapsed="false">
      <c r="A7" s="16" t="n">
        <v>2026</v>
      </c>
      <c r="B7" s="16" t="n">
        <f aca="false">COUNTIFS(발사데이터!$F$2:$F$87,$A7,발사데이터!$G$2:$G$87,"발사완료")</f>
        <v>9</v>
      </c>
      <c r="C7" s="16" t="n">
        <f aca="false">COUNTIFS(발사데이터!$F$2:$F$87,$A7,발사데이터!$G$2:$G$87,"발사예정")</f>
        <v>14</v>
      </c>
      <c r="D7" s="16" t="n">
        <f aca="false">B7+C7</f>
        <v>23</v>
      </c>
      <c r="E7" s="17" t="n">
        <f aca="false">SUMIFS(발사데이터!$D$2:$D$87,발사데이터!$F$2:$F$87,$A7)</f>
        <v>24800</v>
      </c>
      <c r="F7" s="16" t="n">
        <f aca="false">COUNTIFS(발사데이터!$F$2:$F$87,$A7,발사데이터!$J$2:$J$87,"미상")</f>
        <v>14</v>
      </c>
      <c r="G7" s="17" t="n">
        <f aca="false">IFERROR(E7/(D7-F7),0)</f>
        <v>2755.55555555556</v>
      </c>
    </row>
    <row r="8" customFormat="false" ht="15" hidden="false" customHeight="false" outlineLevel="0" collapsed="false">
      <c r="A8" s="16" t="n">
        <v>2027</v>
      </c>
      <c r="B8" s="16" t="n">
        <f aca="false">COUNTIFS(발사데이터!$F$2:$F$87,$A8,발사데이터!$G$2:$G$87,"발사완료")</f>
        <v>0</v>
      </c>
      <c r="C8" s="16" t="n">
        <f aca="false">COUNTIFS(발사데이터!$F$2:$F$87,$A8,발사데이터!$G$2:$G$87,"발사예정")</f>
        <v>13</v>
      </c>
      <c r="D8" s="16" t="n">
        <f aca="false">B8+C8</f>
        <v>13</v>
      </c>
      <c r="E8" s="17" t="n">
        <f aca="false">SUMIFS(발사데이터!$D$2:$D$87,발사데이터!$F$2:$F$87,$A8)</f>
        <v>11000</v>
      </c>
      <c r="F8" s="16" t="n">
        <f aca="false">COUNTIFS(발사데이터!$F$2:$F$87,$A8,발사데이터!$J$2:$J$87,"미상")</f>
        <v>11</v>
      </c>
      <c r="G8" s="17" t="n">
        <f aca="false">IFERROR(E8/(D8-F8),0)</f>
        <v>5500</v>
      </c>
    </row>
    <row r="9" customFormat="false" ht="15" hidden="false" customHeight="false" outlineLevel="0" collapsed="false">
      <c r="A9" s="16" t="n">
        <v>2028</v>
      </c>
      <c r="B9" s="16" t="n">
        <f aca="false">COUNTIFS(발사데이터!$F$2:$F$87,$A9,발사데이터!$G$2:$G$87,"발사완료")</f>
        <v>0</v>
      </c>
      <c r="C9" s="16" t="n">
        <f aca="false">COUNTIFS(발사데이터!$F$2:$F$87,$A9,발사데이터!$G$2:$G$87,"발사예정")</f>
        <v>1</v>
      </c>
      <c r="D9" s="16" t="n">
        <f aca="false">B9+C9</f>
        <v>1</v>
      </c>
      <c r="E9" s="17" t="n">
        <f aca="false">SUMIFS(발사데이터!$D$2:$D$87,발사데이터!$F$2:$F$87,$A9)</f>
        <v>0</v>
      </c>
      <c r="F9" s="16" t="n">
        <f aca="false">COUNTIFS(발사데이터!$F$2:$F$87,$A9,발사데이터!$J$2:$J$87,"미상")</f>
        <v>1</v>
      </c>
      <c r="G9" s="17" t="n">
        <f aca="false">IFERROR(E9/(D9-F9),0)</f>
        <v>0</v>
      </c>
    </row>
    <row r="10" customFormat="false" ht="15" hidden="false" customHeight="false" outlineLevel="0" collapsed="false">
      <c r="A10" s="16" t="n">
        <v>2029</v>
      </c>
      <c r="B10" s="16" t="n">
        <f aca="false">COUNTIFS(발사데이터!$F$2:$F$87,$A10,발사데이터!$G$2:$G$87,"발사완료")</f>
        <v>0</v>
      </c>
      <c r="C10" s="16" t="n">
        <f aca="false">COUNTIFS(발사데이터!$F$2:$F$87,$A10,발사데이터!$G$2:$G$87,"발사예정")</f>
        <v>2</v>
      </c>
      <c r="D10" s="16" t="n">
        <f aca="false">B10+C10</f>
        <v>2</v>
      </c>
      <c r="E10" s="17" t="n">
        <f aca="false">SUMIFS(발사데이터!$D$2:$D$87,발사데이터!$F$2:$F$87,$A10)</f>
        <v>12000</v>
      </c>
      <c r="F10" s="16" t="n">
        <f aca="false">COUNTIFS(발사데이터!$F$2:$F$87,$A10,발사데이터!$J$2:$J$87,"미상")</f>
        <v>0</v>
      </c>
      <c r="G10" s="17" t="n">
        <f aca="false">IFERROR(E10/(D10-F10),0)</f>
        <v>6000</v>
      </c>
    </row>
    <row r="11" customFormat="false" ht="15" hidden="false" customHeight="false" outlineLevel="0" collapsed="false">
      <c r="A11" s="16" t="n">
        <v>2030</v>
      </c>
      <c r="B11" s="16" t="n">
        <f aca="false">COUNTIFS(발사데이터!$F$2:$F$87,$A11,발사데이터!$G$2:$G$87,"발사완료")</f>
        <v>0</v>
      </c>
      <c r="C11" s="16" t="n">
        <f aca="false">COUNTIFS(발사데이터!$F$2:$F$87,$A11,발사데이터!$G$2:$G$87,"발사예정")</f>
        <v>2</v>
      </c>
      <c r="D11" s="16" t="n">
        <f aca="false">B11+C11</f>
        <v>2</v>
      </c>
      <c r="E11" s="17" t="n">
        <f aca="false">SUMIFS(발사데이터!$D$2:$D$87,발사데이터!$F$2:$F$87,$A11)</f>
        <v>6100</v>
      </c>
      <c r="F11" s="16" t="n">
        <f aca="false">COUNTIFS(발사데이터!$F$2:$F$87,$A11,발사데이터!$J$2:$J$87,"미상")</f>
        <v>1</v>
      </c>
      <c r="G11" s="17" t="n">
        <f aca="false">IFERROR(E11/(D11-F11),0)</f>
        <v>6100</v>
      </c>
    </row>
    <row r="12" customFormat="false" ht="15" hidden="false" customHeight="false" outlineLevel="0" collapsed="false">
      <c r="A12" s="16" t="n">
        <v>2031</v>
      </c>
      <c r="B12" s="16" t="n">
        <f aca="false">COUNTIFS(발사데이터!$F$2:$F$87,$A12,발사데이터!$G$2:$G$87,"발사완료")</f>
        <v>0</v>
      </c>
      <c r="C12" s="16" t="n">
        <f aca="false">COUNTIFS(발사데이터!$F$2:$F$87,$A12,발사데이터!$G$2:$G$87,"발사예정")</f>
        <v>1</v>
      </c>
      <c r="D12" s="16" t="n">
        <f aca="false">B12+C12</f>
        <v>1</v>
      </c>
      <c r="E12" s="17" t="n">
        <f aca="false">SUMIFS(발사데이터!$D$2:$D$87,발사데이터!$F$2:$F$87,$A12)</f>
        <v>0</v>
      </c>
      <c r="F12" s="16" t="n">
        <f aca="false">COUNTIFS(발사데이터!$F$2:$F$87,$A12,발사데이터!$J$2:$J$87,"미상")</f>
        <v>1</v>
      </c>
      <c r="G12" s="17" t="n">
        <f aca="false">IFERROR(E12/(D12-F12),0)</f>
        <v>0</v>
      </c>
    </row>
    <row r="13" customFormat="false" ht="15" hidden="false" customHeight="false" outlineLevel="0" collapsed="false">
      <c r="A13" s="16" t="n">
        <v>2032</v>
      </c>
      <c r="B13" s="16" t="n">
        <f aca="false">COUNTIFS(발사데이터!$F$2:$F$87,$A13,발사데이터!$G$2:$G$87,"발사완료")</f>
        <v>0</v>
      </c>
      <c r="C13" s="16" t="n">
        <f aca="false">COUNTIFS(발사데이터!$F$2:$F$87,$A13,발사데이터!$G$2:$G$87,"발사예정")</f>
        <v>1</v>
      </c>
      <c r="D13" s="16" t="n">
        <f aca="false">B13+C13</f>
        <v>1</v>
      </c>
      <c r="E13" s="17" t="n">
        <f aca="false">SUMIFS(발사데이터!$D$2:$D$87,발사데이터!$F$2:$F$87,$A13)</f>
        <v>0</v>
      </c>
      <c r="F13" s="16" t="n">
        <f aca="false">COUNTIFS(발사데이터!$F$2:$F$87,$A13,발사데이터!$J$2:$J$87,"미상")</f>
        <v>1</v>
      </c>
      <c r="G13" s="17" t="n">
        <f aca="false">IFERROR(E13/(D13-F13),0)</f>
        <v>0</v>
      </c>
    </row>
    <row r="14" customFormat="false" ht="15" hidden="false" customHeight="false" outlineLevel="0" collapsed="false">
      <c r="A14" s="16" t="n">
        <v>9999</v>
      </c>
      <c r="B14" s="16" t="n">
        <f aca="false">COUNTIFS(발사데이터!$F$2:$F$87,$A14,발사데이터!$G$2:$G$87,"발사완료")</f>
        <v>0</v>
      </c>
      <c r="C14" s="16" t="n">
        <f aca="false">COUNTIFS(발사데이터!$F$2:$F$87,$A14,발사데이터!$G$2:$G$87,"발사예정")</f>
        <v>13</v>
      </c>
      <c r="D14" s="16" t="n">
        <f aca="false">B14+C14</f>
        <v>13</v>
      </c>
      <c r="E14" s="17" t="n">
        <f aca="false">SUMIFS(발사데이터!$D$2:$D$87,발사데이터!$F$2:$F$87,$A14)</f>
        <v>12400</v>
      </c>
      <c r="F14" s="16" t="n">
        <f aca="false">COUNTIFS(발사데이터!$F$2:$F$87,$A14,발사데이터!$J$2:$J$87,"미상")</f>
        <v>9</v>
      </c>
      <c r="G14" s="17" t="n">
        <f aca="false">IFERROR(E14/(D14-F14),0)</f>
        <v>3100</v>
      </c>
    </row>
    <row r="15" customFormat="false" ht="15" hidden="false" customHeight="false" outlineLevel="0" collapsed="false">
      <c r="A15" s="18" t="s">
        <v>267</v>
      </c>
      <c r="B15" s="18" t="n">
        <f aca="false">B5+B6+B7+B8+B9+B10+B11+B12+B13+B14</f>
        <v>39</v>
      </c>
      <c r="C15" s="18" t="n">
        <f aca="false">C5+C6+C7+C8+C9+C10+C11+C12+C13+C14</f>
        <v>47</v>
      </c>
      <c r="D15" s="18" t="n">
        <f aca="false">D5+D6+D7+D8+D9+D10+D11+D12+D13+D14</f>
        <v>86</v>
      </c>
      <c r="E15" s="19" t="n">
        <f aca="false">E5+E6+E7+E8+E9+E10+E11+E12+E13+E14</f>
        <v>164626</v>
      </c>
      <c r="F15" s="18" t="n">
        <f aca="false">F5+F6+F7+F8+F9+F10+F11+F12+F13+F14</f>
        <v>43</v>
      </c>
      <c r="G15" s="19" t="n">
        <f aca="false">IFERROR(E15/(D15-F15),0)</f>
        <v>3828.51162790698</v>
      </c>
    </row>
    <row r="17" customFormat="false" ht="15" hidden="false" customHeight="false" outlineLevel="0" collapsed="false">
      <c r="A17" s="20" t="s">
        <v>268</v>
      </c>
    </row>
    <row r="18" customFormat="false" ht="15" hidden="false" customHeight="false" outlineLevel="0" collapsed="false">
      <c r="A18" s="20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0.1" hidden="false" customHeight="false" outlineLevel="0" collapsed="false">
      <c r="A1" s="21" t="s">
        <v>270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3" t="s">
        <v>271</v>
      </c>
    </row>
    <row r="4" customFormat="false" ht="15" hidden="false" customHeight="false" outlineLevel="0" collapsed="false">
      <c r="A4" s="22" t="s">
        <v>272</v>
      </c>
    </row>
    <row r="5" customFormat="false" ht="15" hidden="false" customHeight="false" outlineLevel="0" collapsed="false">
      <c r="A5" s="24" t="s">
        <v>273</v>
      </c>
    </row>
    <row r="6" customFormat="false" ht="15" hidden="false" customHeight="false" outlineLevel="0" collapsed="false">
      <c r="A6" s="24" t="s">
        <v>274</v>
      </c>
    </row>
    <row r="7" customFormat="false" ht="15" hidden="false" customHeight="false" outlineLevel="0" collapsed="false">
      <c r="A7" s="22" t="s">
        <v>275</v>
      </c>
    </row>
    <row r="8" customFormat="false" ht="15" hidden="false" customHeight="false" outlineLevel="0" collapsed="false">
      <c r="A8" s="22"/>
    </row>
    <row r="9" customFormat="false" ht="15" hidden="false" customHeight="false" outlineLevel="0" collapsed="false">
      <c r="A9" s="23" t="s">
        <v>276</v>
      </c>
    </row>
    <row r="10" customFormat="false" ht="15" hidden="false" customHeight="false" outlineLevel="0" collapsed="false">
      <c r="A10" s="24" t="s">
        <v>277</v>
      </c>
    </row>
    <row r="11" customFormat="false" ht="15" hidden="false" customHeight="false" outlineLevel="0" collapsed="false">
      <c r="A11" s="24" t="s">
        <v>278</v>
      </c>
    </row>
    <row r="12" customFormat="false" ht="15" hidden="false" customHeight="false" outlineLevel="0" collapsed="false">
      <c r="A12" s="24" t="s">
        <v>279</v>
      </c>
    </row>
    <row r="13" customFormat="false" ht="15" hidden="false" customHeight="false" outlineLevel="0" collapsed="false">
      <c r="A13" s="24" t="s">
        <v>280</v>
      </c>
    </row>
    <row r="14" customFormat="false" ht="15" hidden="false" customHeight="false" outlineLevel="0" collapsed="false">
      <c r="A14" s="24" t="s">
        <v>281</v>
      </c>
    </row>
    <row r="15" customFormat="false" ht="15" hidden="false" customHeight="false" outlineLevel="0" collapsed="false">
      <c r="A15" s="24" t="s">
        <v>282</v>
      </c>
    </row>
    <row r="16" customFormat="false" ht="15" hidden="false" customHeight="false" outlineLevel="0" collapsed="false">
      <c r="A16" s="22"/>
    </row>
    <row r="17" customFormat="false" ht="15" hidden="false" customHeight="false" outlineLevel="0" collapsed="false">
      <c r="A17" s="23" t="s">
        <v>283</v>
      </c>
    </row>
    <row r="18" customFormat="false" ht="15" hidden="false" customHeight="false" outlineLevel="0" collapsed="false">
      <c r="A18" s="24" t="s">
        <v>284</v>
      </c>
    </row>
    <row r="19" customFormat="false" ht="15" hidden="false" customHeight="false" outlineLevel="0" collapsed="false">
      <c r="A19" s="22" t="s">
        <v>285</v>
      </c>
    </row>
    <row r="20" customFormat="false" ht="15" hidden="false" customHeight="false" outlineLevel="0" collapsed="false">
      <c r="A20" s="24" t="s">
        <v>286</v>
      </c>
    </row>
    <row r="21" customFormat="false" ht="15" hidden="false" customHeight="false" outlineLevel="0" collapsed="false">
      <c r="A21" s="22" t="s">
        <v>287</v>
      </c>
    </row>
    <row r="22" customFormat="false" ht="15" hidden="false" customHeight="false" outlineLevel="0" collapsed="false">
      <c r="A22" s="22"/>
    </row>
    <row r="23" customFormat="false" ht="15" hidden="false" customHeight="false" outlineLevel="0" collapsed="false">
      <c r="A23" s="23" t="s">
        <v>288</v>
      </c>
    </row>
    <row r="24" customFormat="false" ht="15" hidden="false" customHeight="false" outlineLevel="0" collapsed="false">
      <c r="A24" s="22" t="s">
        <v>289</v>
      </c>
    </row>
    <row r="25" customFormat="false" ht="15" hidden="false" customHeight="false" outlineLevel="0" collapsed="false">
      <c r="A25" s="24" t="s">
        <v>290</v>
      </c>
    </row>
    <row r="26" customFormat="false" ht="15" hidden="false" customHeight="false" outlineLevel="0" collapsed="false">
      <c r="A26" s="22" t="s">
        <v>291</v>
      </c>
    </row>
    <row r="27" customFormat="false" ht="15" hidden="false" customHeight="false" outlineLevel="0" collapsed="false">
      <c r="A27" s="22" t="s">
        <v>292</v>
      </c>
    </row>
    <row r="28" customFormat="false" ht="15" hidden="false" customHeight="false" outlineLevel="0" collapsed="false">
      <c r="A28" s="22" t="s">
        <v>293</v>
      </c>
    </row>
    <row r="29" customFormat="false" ht="15" hidden="false" customHeight="false" outlineLevel="0" collapsed="false">
      <c r="A29" s="24" t="s">
        <v>294</v>
      </c>
    </row>
    <row r="30" customFormat="false" ht="15" hidden="false" customHeight="false" outlineLevel="0" collapsed="false">
      <c r="A30" s="22" t="s">
        <v>295</v>
      </c>
    </row>
    <row r="31" customFormat="false" ht="15" hidden="false" customHeight="false" outlineLevel="0" collapsed="false">
      <c r="A31" s="22" t="s">
        <v>296</v>
      </c>
    </row>
    <row r="32" customFormat="false" ht="15" hidden="false" customHeight="false" outlineLevel="0" collapsed="false">
      <c r="A32" s="24" t="s">
        <v>297</v>
      </c>
    </row>
    <row r="33" customFormat="false" ht="15" hidden="false" customHeight="false" outlineLevel="0" collapsed="false">
      <c r="A33" s="22"/>
    </row>
    <row r="34" customFormat="false" ht="15" hidden="false" customHeight="false" outlineLevel="0" collapsed="false">
      <c r="A34" s="23" t="s">
        <v>298</v>
      </c>
    </row>
    <row r="35" customFormat="false" ht="15" hidden="false" customHeight="false" outlineLevel="0" collapsed="false">
      <c r="A35" s="22" t="s">
        <v>299</v>
      </c>
    </row>
    <row r="36" customFormat="false" ht="15" hidden="false" customHeight="false" outlineLevel="0" collapsed="false">
      <c r="A36" s="22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2026-08-24T01:29:00Z</dcterms:created>
  <dc:creator>openpyxl</dc:creator>
  <dc:description/>
  <dc:language>en-US</dc:language>
  <cp:lastModifiedBy/>
  <dcterms:modified xsi:type="dcterms:W3CDTF">2026-08-24T01:29:00Z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